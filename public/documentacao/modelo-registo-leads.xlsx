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Exemplo" sheetId="2" state="visible" r:id="rId2"/>
    <sheet xmlns:r="http://schemas.openxmlformats.org/officeDocument/2006/relationships" name="Janeiro" sheetId="3" state="visible" r:id="rId3"/>
    <sheet xmlns:r="http://schemas.openxmlformats.org/officeDocument/2006/relationships" name="Fevereiro" sheetId="4" state="visible" r:id="rId4"/>
    <sheet xmlns:r="http://schemas.openxmlformats.org/officeDocument/2006/relationships" name="Março" sheetId="5" state="visible" r:id="rId5"/>
    <sheet xmlns:r="http://schemas.openxmlformats.org/officeDocument/2006/relationships" name="Abril" sheetId="6" state="visible" r:id="rId6"/>
    <sheet xmlns:r="http://schemas.openxmlformats.org/officeDocument/2006/relationships" name="Maio" sheetId="7" state="visible" r:id="rId7"/>
    <sheet xmlns:r="http://schemas.openxmlformats.org/officeDocument/2006/relationships" name="Junho" sheetId="8" state="visible" r:id="rId8"/>
    <sheet xmlns:r="http://schemas.openxmlformats.org/officeDocument/2006/relationships" name="Julho" sheetId="9" state="visible" r:id="rId9"/>
    <sheet xmlns:r="http://schemas.openxmlformats.org/officeDocument/2006/relationships" name="Agosto" sheetId="10" state="visible" r:id="rId10"/>
    <sheet xmlns:r="http://schemas.openxmlformats.org/officeDocument/2006/relationships" name="Setembro" sheetId="11" state="visible" r:id="rId11"/>
    <sheet xmlns:r="http://schemas.openxmlformats.org/officeDocument/2006/relationships" name="Outubro" sheetId="12" state="visible" r:id="rId12"/>
    <sheet xmlns:r="http://schemas.openxmlformats.org/officeDocument/2006/relationships" name="Novembro" sheetId="13" state="visible" r:id="rId13"/>
    <sheet xmlns:r="http://schemas.openxmlformats.org/officeDocument/2006/relationships" name="Dezembro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;-0;0"/>
    <numFmt numFmtId="165" formatCode="0%;-0%;0%"/>
  </numFmts>
  <fonts count="9">
    <font>
      <name val="Calibri"/>
      <family val="2"/>
      <color theme="1"/>
      <sz val="11"/>
      <scheme val="minor"/>
    </font>
    <font>
      <name val="Arial"/>
      <b val="1"/>
      <color rgb="002E1A6E"/>
      <sz val="16"/>
    </font>
    <font>
      <name val="Arial"/>
      <sz val="11"/>
    </font>
    <font>
      <name val="Arial"/>
      <b val="1"/>
      <color rgb="002E1A6E"/>
      <sz val="12"/>
    </font>
    <font>
      <name val="Arial"/>
      <b val="1"/>
      <color rgb="002E1A6E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2E1A6E"/>
      </patternFill>
    </fill>
    <fill>
      <patternFill patternType="solid">
        <fgColor rgb="00E7E2F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vertical="center"/>
    </xf>
    <xf numFmtId="1" fontId="8" fillId="2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1" fontId="7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center"/>
    </xf>
    <xf numFmtId="0" fontId="6" fillId="4" borderId="1" applyAlignment="1" pivotButton="0" quotePrefix="0" xfId="0">
      <alignment horizontal="center" vertical="center" wrapText="1"/>
    </xf>
    <xf numFmtId="1" fontId="7" fillId="0" borderId="1" applyAlignment="1" pivotButton="0" quotePrefix="0" xfId="0">
      <alignment horizontal="center" vertical="center"/>
    </xf>
    <xf numFmtId="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Registo de leads e origem dos clientes</t>
        </is>
      </c>
    </row>
    <row r="3">
      <c r="B3" s="2" t="inlineStr">
        <is>
          <t>Para saber, todos os meses, quantas pessoas pedem informação, marcam e vêm à clínica, e de onde vêm.</t>
        </is>
      </c>
    </row>
    <row r="4">
      <c r="B4" s="2" t="inlineStr">
        <is>
          <t>É assim que medimos o resultado do trabalho de SEO no seu negócio.</t>
        </is>
      </c>
    </row>
    <row r="5"/>
    <row r="6">
      <c r="B6" s="3" t="inlineStr">
        <is>
          <t>Como preencher</t>
        </is>
      </c>
    </row>
    <row r="7">
      <c r="B7" s="2" t="inlineStr">
        <is>
          <t>1. Em cada contacto, pergunte «Como nos conheceu?».</t>
        </is>
      </c>
    </row>
    <row r="8">
      <c r="B8" s="2" t="inlineStr">
        <is>
          <t>2. Na tabela da origem, some 1 na linha do canal (email, telefone, WhatsApp, presencial) e na coluna da origem.</t>
        </is>
      </c>
    </row>
    <row r="9">
      <c r="B9" s="2" t="inlineStr">
        <is>
          <t>3. No fim do mês, preencha o funil: curiosos, quem faz depósito e quem vem à clínica. «Quem marca» soma-se sozinho.</t>
        </is>
      </c>
    </row>
    <row r="10">
      <c r="B10" s="2" t="inlineStr">
        <is>
          <t>4. Se tiver os números do ano anterior, preencha essa coluna: a diferença e a variação calculam-se sozinhas.</t>
        </is>
      </c>
    </row>
    <row r="11">
      <c r="B11" s="2" t="inlineStr">
        <is>
          <t>5. No fim de cada mês, envie o ficheiro ao seu consultor WonderAds.</t>
        </is>
      </c>
    </row>
    <row r="12"/>
    <row r="13">
      <c r="B13" s="3" t="inlineStr">
        <is>
          <t>Legenda</t>
        </is>
      </c>
    </row>
    <row r="14">
      <c r="A14" s="4" t="n"/>
      <c r="B14" s="2" t="inlineStr">
        <is>
          <t>Células amarelas: preencher.</t>
        </is>
      </c>
    </row>
    <row r="15">
      <c r="A15" s="5" t="n"/>
      <c r="B15" s="2" t="inlineStr">
        <is>
          <t>Células verdes: calculadas sozinhas — não é preciso mexer.</t>
        </is>
      </c>
    </row>
    <row r="16">
      <c r="B16" s="2" t="inlineStr">
        <is>
          <t>O separador «Exemplo» mostra um mês preenchido, com valores fictícios.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6" t="inlineStr">
        <is>
          <t>Registo de leads — Exemplo (valores fictícios)</t>
        </is>
      </c>
    </row>
    <row r="2">
      <c r="A2" s="7" t="inlineStr">
        <is>
          <t>Células amarelas: preencher. Células verdes: calculadas sozinhas.</t>
        </is>
      </c>
    </row>
    <row r="4">
      <c r="A4" s="8" t="inlineStr">
        <is>
          <t>Funil do mês</t>
        </is>
      </c>
      <c r="B4" s="9" t="inlineStr">
        <is>
          <t>Ano atual</t>
        </is>
      </c>
      <c r="C4" s="9" t="inlineStr">
        <is>
          <t>Ano anterior</t>
        </is>
      </c>
      <c r="D4" s="9" t="inlineStr">
        <is>
          <t>Diferença</t>
        </is>
      </c>
      <c r="E4" s="9" t="inlineStr">
        <is>
          <t>Variação</t>
        </is>
      </c>
    </row>
    <row r="5">
      <c r="A5" s="10" t="inlineStr">
        <is>
          <t>Curiosos (pedem informação)</t>
        </is>
      </c>
      <c r="B5" s="11" t="n">
        <v>120</v>
      </c>
      <c r="C5" s="11" t="n">
        <v>95</v>
      </c>
      <c r="D5" s="12">
        <f>IF(AND(B5="",C5=""),"",B5-C5)</f>
        <v/>
      </c>
      <c r="E5" s="13">
        <f>IF(OR(C5="",C5=0),"",(B5-C5)/C5)</f>
        <v/>
      </c>
    </row>
    <row r="6">
      <c r="A6" s="10" t="inlineStr">
        <is>
          <t>Quem marca</t>
        </is>
      </c>
      <c r="B6" s="14">
        <f>I17</f>
        <v/>
      </c>
      <c r="C6" s="11" t="n">
        <v>30</v>
      </c>
      <c r="D6" s="12">
        <f>IF(AND(B6="",C6=""),"",B6-C6)</f>
        <v/>
      </c>
      <c r="E6" s="13">
        <f>IF(OR(C6="",C6=0),"",(B6-C6)/C6)</f>
        <v/>
      </c>
    </row>
    <row r="7">
      <c r="A7" s="10" t="inlineStr">
        <is>
          <t>Quem faz depósito / sinal</t>
        </is>
      </c>
      <c r="B7" s="11" t="n">
        <v>18</v>
      </c>
      <c r="C7" s="11" t="n">
        <v>14</v>
      </c>
      <c r="D7" s="12">
        <f>IF(AND(B7="",C7=""),"",B7-C7)</f>
        <v/>
      </c>
      <c r="E7" s="13">
        <f>IF(OR(C7="",C7=0),"",(B7-C7)/C7)</f>
        <v/>
      </c>
    </row>
    <row r="8">
      <c r="A8" s="10" t="inlineStr">
        <is>
          <t>Quem vem à clínica</t>
        </is>
      </c>
      <c r="B8" s="11" t="n">
        <v>32</v>
      </c>
      <c r="C8" s="11" t="n">
        <v>27</v>
      </c>
      <c r="D8" s="12">
        <f>IF(AND(B8="",C8=""),"",B8-C8)</f>
        <v/>
      </c>
      <c r="E8" s="13">
        <f>IF(OR(C8="",C8=0),"",(B8-C8)/C8)</f>
        <v/>
      </c>
    </row>
    <row r="9">
      <c r="A9" s="7" t="inlineStr">
        <is>
          <t>«Quem marca» deste ano soma-se sozinho a partir da tabela da origem, em baixo.</t>
        </is>
      </c>
    </row>
    <row r="11">
      <c r="A11" s="3" t="inlineStr">
        <is>
          <t>Origem das marcações — «Como nos conheceu?»</t>
        </is>
      </c>
    </row>
    <row r="12" ht="30" customHeight="1">
      <c r="A12" s="15" t="inlineStr">
        <is>
          <t>Canal de contacto</t>
        </is>
      </c>
      <c r="B12" s="16" t="inlineStr">
        <is>
          <t>Formulário do site</t>
        </is>
      </c>
      <c r="C12" s="16" t="inlineStr">
        <is>
          <t>Email direto</t>
        </is>
      </c>
      <c r="D12" s="16" t="inlineStr">
        <is>
          <t>Google</t>
        </is>
      </c>
      <c r="E12" s="16" t="inlineStr">
        <is>
          <t>IAs (ChatGPT, Gemini…)</t>
        </is>
      </c>
      <c r="F12" s="16" t="inlineStr">
        <is>
          <t>Redes sociais</t>
        </is>
      </c>
      <c r="G12" s="16" t="inlineStr">
        <is>
          <t>Recomendação</t>
        </is>
      </c>
      <c r="H12" s="16" t="inlineStr">
        <is>
          <t>Outro</t>
        </is>
      </c>
      <c r="I12" s="9" t="inlineStr">
        <is>
          <t>Total</t>
        </is>
      </c>
      <c r="J12" s="9" t="inlineStr">
        <is>
          <t>%</t>
        </is>
      </c>
    </row>
    <row r="13">
      <c r="A13" s="10" t="inlineStr">
        <is>
          <t>Email</t>
        </is>
      </c>
      <c r="B13" s="11" t="n">
        <v>6</v>
      </c>
      <c r="C13" s="11" t="n">
        <v>3</v>
      </c>
      <c r="D13" s="11" t="n">
        <v>0</v>
      </c>
      <c r="E13" s="11" t="n">
        <v>1</v>
      </c>
      <c r="F13" s="11" t="n">
        <v>0</v>
      </c>
      <c r="G13" s="11" t="n">
        <v>0</v>
      </c>
      <c r="H13" s="11" t="n">
        <v>0</v>
      </c>
      <c r="I13" s="17">
        <f>SUM(B13:H13)</f>
        <v/>
      </c>
      <c r="J13" s="18">
        <f>IF($I$17=0,"",I13/$I$17)</f>
        <v/>
      </c>
    </row>
    <row r="14">
      <c r="A14" s="10" t="inlineStr">
        <is>
          <t>Telefone</t>
        </is>
      </c>
      <c r="B14" s="11" t="n">
        <v>0</v>
      </c>
      <c r="C14" s="11" t="n">
        <v>0</v>
      </c>
      <c r="D14" s="11" t="n">
        <v>9</v>
      </c>
      <c r="E14" s="11" t="n">
        <v>2</v>
      </c>
      <c r="F14" s="11" t="n">
        <v>1</v>
      </c>
      <c r="G14" s="11" t="n">
        <v>5</v>
      </c>
      <c r="H14" s="11" t="n">
        <v>0</v>
      </c>
      <c r="I14" s="17">
        <f>SUM(B14:H14)</f>
        <v/>
      </c>
      <c r="J14" s="18">
        <f>IF($I$17=0,"",I14/$I$17)</f>
        <v/>
      </c>
    </row>
    <row r="15">
      <c r="A15" s="10" t="inlineStr">
        <is>
          <t>WhatsApp / mensagens</t>
        </is>
      </c>
      <c r="B15" s="11" t="n">
        <v>0</v>
      </c>
      <c r="C15" s="11" t="n">
        <v>0</v>
      </c>
      <c r="D15" s="11" t="n">
        <v>4</v>
      </c>
      <c r="E15" s="11" t="n">
        <v>1</v>
      </c>
      <c r="F15" s="11" t="n">
        <v>3</v>
      </c>
      <c r="G15" s="11" t="n">
        <v>2</v>
      </c>
      <c r="H15" s="11" t="n">
        <v>1</v>
      </c>
      <c r="I15" s="17">
        <f>SUM(B15:H15)</f>
        <v/>
      </c>
      <c r="J15" s="18">
        <f>IF($I$17=0,"",I15/$I$17)</f>
        <v/>
      </c>
    </row>
    <row r="16">
      <c r="A16" s="10" t="inlineStr">
        <is>
          <t>Presencial</t>
        </is>
      </c>
      <c r="B16" s="11" t="n">
        <v>0</v>
      </c>
      <c r="C16" s="11" t="n">
        <v>0</v>
      </c>
      <c r="D16" s="11" t="n">
        <v>0</v>
      </c>
      <c r="E16" s="11" t="n">
        <v>0</v>
      </c>
      <c r="F16" s="11" t="n">
        <v>0</v>
      </c>
      <c r="G16" s="11" t="n">
        <v>3</v>
      </c>
      <c r="H16" s="11" t="n">
        <v>0</v>
      </c>
      <c r="I16" s="17">
        <f>SUM(B16:H16)</f>
        <v/>
      </c>
      <c r="J16" s="18">
        <f>IF($I$17=0,"",I16/$I$17)</f>
        <v/>
      </c>
    </row>
    <row r="17">
      <c r="A17" s="10" t="inlineStr">
        <is>
          <t>Total</t>
        </is>
      </c>
      <c r="B17" s="17">
        <f>SUM(B13:B16)</f>
        <v/>
      </c>
      <c r="C17" s="17">
        <f>SUM(C13:C16)</f>
        <v/>
      </c>
      <c r="D17" s="17">
        <f>SUM(D13:D16)</f>
        <v/>
      </c>
      <c r="E17" s="17">
        <f>SUM(E13:E16)</f>
        <v/>
      </c>
      <c r="F17" s="17">
        <f>SUM(F13:F16)</f>
        <v/>
      </c>
      <c r="G17" s="17">
        <f>SUM(G13:G16)</f>
        <v/>
      </c>
      <c r="H17" s="17">
        <f>SUM(H13:H16)</f>
        <v/>
      </c>
      <c r="I17" s="14">
        <f>SUM(I13:I16)</f>
        <v/>
      </c>
      <c r="J17" s="19" t="n"/>
    </row>
    <row r="18">
      <c r="A18" s="10" t="inlineStr">
        <is>
          <t>%</t>
        </is>
      </c>
      <c r="B18" s="18">
        <f>IF($I$17=0,"",B17/$I$17)</f>
        <v/>
      </c>
      <c r="C18" s="18">
        <f>IF($I$17=0,"",C17/$I$17)</f>
        <v/>
      </c>
      <c r="D18" s="18">
        <f>IF($I$17=0,"",D17/$I$17)</f>
        <v/>
      </c>
      <c r="E18" s="18">
        <f>IF($I$17=0,"",E17/$I$17)</f>
        <v/>
      </c>
      <c r="F18" s="18">
        <f>IF($I$17=0,"",F17/$I$17)</f>
        <v/>
      </c>
      <c r="G18" s="18">
        <f>IF($I$17=0,"",G17/$I$17)</f>
        <v/>
      </c>
      <c r="H18" s="18">
        <f>IF($I$17=0,"",H17/$I$17)</f>
        <v/>
      </c>
      <c r="I18" s="19" t="n"/>
      <c r="J18" s="19" t="n"/>
    </row>
  </sheetData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6" t="inlineStr">
        <is>
          <t>Registo de leads — Janeiro</t>
        </is>
      </c>
    </row>
    <row r="2">
      <c r="A2" s="7" t="inlineStr">
        <is>
          <t>Células amarelas: preencher. Células verdes: calculadas sozinhas.</t>
        </is>
      </c>
    </row>
    <row r="4">
      <c r="A4" s="8" t="inlineStr">
        <is>
          <t>Funil do mês</t>
        </is>
      </c>
      <c r="B4" s="9" t="inlineStr">
        <is>
          <t>Ano atual</t>
        </is>
      </c>
      <c r="C4" s="9" t="inlineStr">
        <is>
          <t>Ano anterior</t>
        </is>
      </c>
      <c r="D4" s="9" t="inlineStr">
        <is>
          <t>Diferença</t>
        </is>
      </c>
      <c r="E4" s="9" t="inlineStr">
        <is>
          <t>Variação</t>
        </is>
      </c>
    </row>
    <row r="5">
      <c r="A5" s="10" t="inlineStr">
        <is>
          <t>Curiosos (pedem informação)</t>
        </is>
      </c>
      <c r="B5" s="11" t="n"/>
      <c r="C5" s="11" t="n"/>
      <c r="D5" s="12">
        <f>IF(AND(B5="",C5=""),"",B5-C5)</f>
        <v/>
      </c>
      <c r="E5" s="13">
        <f>IF(OR(C5="",C5=0),"",(B5-C5)/C5)</f>
        <v/>
      </c>
    </row>
    <row r="6">
      <c r="A6" s="10" t="inlineStr">
        <is>
          <t>Quem marca</t>
        </is>
      </c>
      <c r="B6" s="14">
        <f>I17</f>
        <v/>
      </c>
      <c r="C6" s="11" t="n"/>
      <c r="D6" s="12">
        <f>IF(AND(B6="",C6=""),"",B6-C6)</f>
        <v/>
      </c>
      <c r="E6" s="13">
        <f>IF(OR(C6="",C6=0),"",(B6-C6)/C6)</f>
        <v/>
      </c>
    </row>
    <row r="7">
      <c r="A7" s="10" t="inlineStr">
        <is>
          <t>Quem faz depósito / sinal</t>
        </is>
      </c>
      <c r="B7" s="11" t="n"/>
      <c r="C7" s="11" t="n"/>
      <c r="D7" s="12">
        <f>IF(AND(B7="",C7=""),"",B7-C7)</f>
        <v/>
      </c>
      <c r="E7" s="13">
        <f>IF(OR(C7="",C7=0),"",(B7-C7)/C7)</f>
        <v/>
      </c>
    </row>
    <row r="8">
      <c r="A8" s="10" t="inlineStr">
        <is>
          <t>Quem vem à clínica</t>
        </is>
      </c>
      <c r="B8" s="11" t="n"/>
      <c r="C8" s="11" t="n"/>
      <c r="D8" s="12">
        <f>IF(AND(B8="",C8=""),"",B8-C8)</f>
        <v/>
      </c>
      <c r="E8" s="13">
        <f>IF(OR(C8="",C8=0),"",(B8-C8)/C8)</f>
        <v/>
      </c>
    </row>
    <row r="9">
      <c r="A9" s="7" t="inlineStr">
        <is>
          <t>«Quem marca» deste ano soma-se sozinho a partir da tabela da origem, em baixo.</t>
        </is>
      </c>
    </row>
    <row r="11">
      <c r="A11" s="3" t="inlineStr">
        <is>
          <t>Origem das marcações — «Como nos conheceu?»</t>
        </is>
      </c>
    </row>
    <row r="12" ht="30" customHeight="1">
      <c r="A12" s="15" t="inlineStr">
        <is>
          <t>Canal de contacto</t>
        </is>
      </c>
      <c r="B12" s="16" t="inlineStr">
        <is>
          <t>Formulário do site</t>
        </is>
      </c>
      <c r="C12" s="16" t="inlineStr">
        <is>
          <t>Email direto</t>
        </is>
      </c>
      <c r="D12" s="16" t="inlineStr">
        <is>
          <t>Google</t>
        </is>
      </c>
      <c r="E12" s="16" t="inlineStr">
        <is>
          <t>IAs (ChatGPT, Gemini…)</t>
        </is>
      </c>
      <c r="F12" s="16" t="inlineStr">
        <is>
          <t>Redes sociais</t>
        </is>
      </c>
      <c r="G12" s="16" t="inlineStr">
        <is>
          <t>Recomendação</t>
        </is>
      </c>
      <c r="H12" s="16" t="inlineStr">
        <is>
          <t>Outro</t>
        </is>
      </c>
      <c r="I12" s="9" t="inlineStr">
        <is>
          <t>Total</t>
        </is>
      </c>
      <c r="J12" s="9" t="inlineStr">
        <is>
          <t>%</t>
        </is>
      </c>
    </row>
    <row r="13">
      <c r="A13" s="10" t="inlineStr">
        <is>
          <t>Email</t>
        </is>
      </c>
      <c r="B13" s="11" t="n"/>
      <c r="C13" s="11" t="n"/>
      <c r="D13" s="11" t="n"/>
      <c r="E13" s="11" t="n"/>
      <c r="F13" s="11" t="n"/>
      <c r="G13" s="11" t="n"/>
      <c r="H13" s="11" t="n"/>
      <c r="I13" s="17">
        <f>SUM(B13:H13)</f>
        <v/>
      </c>
      <c r="J13" s="18">
        <f>IF($I$17=0,"",I13/$I$17)</f>
        <v/>
      </c>
    </row>
    <row r="14">
      <c r="A14" s="10" t="inlineStr">
        <is>
          <t>Telefone</t>
        </is>
      </c>
      <c r="B14" s="11" t="n"/>
      <c r="C14" s="11" t="n"/>
      <c r="D14" s="11" t="n"/>
      <c r="E14" s="11" t="n"/>
      <c r="F14" s="11" t="n"/>
      <c r="G14" s="11" t="n"/>
      <c r="H14" s="11" t="n"/>
      <c r="I14" s="17">
        <f>SUM(B14:H14)</f>
        <v/>
      </c>
      <c r="J14" s="18">
        <f>IF($I$17=0,"",I14/$I$17)</f>
        <v/>
      </c>
    </row>
    <row r="15">
      <c r="A15" s="10" t="inlineStr">
        <is>
          <t>WhatsApp / mensagens</t>
        </is>
      </c>
      <c r="B15" s="11" t="n"/>
      <c r="C15" s="11" t="n"/>
      <c r="D15" s="11" t="n"/>
      <c r="E15" s="11" t="n"/>
      <c r="F15" s="11" t="n"/>
      <c r="G15" s="11" t="n"/>
      <c r="H15" s="11" t="n"/>
      <c r="I15" s="17">
        <f>SUM(B15:H15)</f>
        <v/>
      </c>
      <c r="J15" s="18">
        <f>IF($I$17=0,"",I15/$I$17)</f>
        <v/>
      </c>
    </row>
    <row r="16">
      <c r="A16" s="10" t="inlineStr">
        <is>
          <t>Presencial</t>
        </is>
      </c>
      <c r="B16" s="11" t="n"/>
      <c r="C16" s="11" t="n"/>
      <c r="D16" s="11" t="n"/>
      <c r="E16" s="11" t="n"/>
      <c r="F16" s="11" t="n"/>
      <c r="G16" s="11" t="n"/>
      <c r="H16" s="11" t="n"/>
      <c r="I16" s="17">
        <f>SUM(B16:H16)</f>
        <v/>
      </c>
      <c r="J16" s="18">
        <f>IF($I$17=0,"",I16/$I$17)</f>
        <v/>
      </c>
    </row>
    <row r="17">
      <c r="A17" s="10" t="inlineStr">
        <is>
          <t>Total</t>
        </is>
      </c>
      <c r="B17" s="17">
        <f>SUM(B13:B16)</f>
        <v/>
      </c>
      <c r="C17" s="17">
        <f>SUM(C13:C16)</f>
        <v/>
      </c>
      <c r="D17" s="17">
        <f>SUM(D13:D16)</f>
        <v/>
      </c>
      <c r="E17" s="17">
        <f>SUM(E13:E16)</f>
        <v/>
      </c>
      <c r="F17" s="17">
        <f>SUM(F13:F16)</f>
        <v/>
      </c>
      <c r="G17" s="17">
        <f>SUM(G13:G16)</f>
        <v/>
      </c>
      <c r="H17" s="17">
        <f>SUM(H13:H16)</f>
        <v/>
      </c>
      <c r="I17" s="14">
        <f>SUM(I13:I16)</f>
        <v/>
      </c>
      <c r="J17" s="19" t="n"/>
    </row>
    <row r="18">
      <c r="A18" s="10" t="inlineStr">
        <is>
          <t>%</t>
        </is>
      </c>
      <c r="B18" s="18">
        <f>IF($I$17=0,"",B17/$I$17)</f>
        <v/>
      </c>
      <c r="C18" s="18">
        <f>IF($I$17=0,"",C17/$I$17)</f>
        <v/>
      </c>
      <c r="D18" s="18">
        <f>IF($I$17=0,"",D17/$I$17)</f>
        <v/>
      </c>
      <c r="E18" s="18">
        <f>IF($I$17=0,"",E17/$I$17)</f>
        <v/>
      </c>
      <c r="F18" s="18">
        <f>IF($I$17=0,"",F17/$I$17)</f>
        <v/>
      </c>
      <c r="G18" s="18">
        <f>IF($I$17=0,"",G17/$I$17)</f>
        <v/>
      </c>
      <c r="H18" s="18">
        <f>IF($I$17=0,"",H17/$I$17)</f>
        <v/>
      </c>
      <c r="I18" s="19" t="n"/>
      <c r="J18" s="19" t="n"/>
    </row>
  </sheetData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6" t="inlineStr">
        <is>
          <t>Registo de leads — Fevereiro</t>
        </is>
      </c>
    </row>
    <row r="2">
      <c r="A2" s="7" t="inlineStr">
        <is>
          <t>Células amarelas: preencher. Células verdes: calculadas sozinhas.</t>
        </is>
      </c>
    </row>
    <row r="4">
      <c r="A4" s="8" t="inlineStr">
        <is>
          <t>Funil do mês</t>
        </is>
      </c>
      <c r="B4" s="9" t="inlineStr">
        <is>
          <t>Ano atual</t>
        </is>
      </c>
      <c r="C4" s="9" t="inlineStr">
        <is>
          <t>Ano anterior</t>
        </is>
      </c>
      <c r="D4" s="9" t="inlineStr">
        <is>
          <t>Diferença</t>
        </is>
      </c>
      <c r="E4" s="9" t="inlineStr">
        <is>
          <t>Variação</t>
        </is>
      </c>
    </row>
    <row r="5">
      <c r="A5" s="10" t="inlineStr">
        <is>
          <t>Curiosos (pedem informação)</t>
        </is>
      </c>
      <c r="B5" s="11" t="n"/>
      <c r="C5" s="11" t="n"/>
      <c r="D5" s="12">
        <f>IF(AND(B5="",C5=""),"",B5-C5)</f>
        <v/>
      </c>
      <c r="E5" s="13">
        <f>IF(OR(C5="",C5=0),"",(B5-C5)/C5)</f>
        <v/>
      </c>
    </row>
    <row r="6">
      <c r="A6" s="10" t="inlineStr">
        <is>
          <t>Quem marca</t>
        </is>
      </c>
      <c r="B6" s="14">
        <f>I17</f>
        <v/>
      </c>
      <c r="C6" s="11" t="n"/>
      <c r="D6" s="12">
        <f>IF(AND(B6="",C6=""),"",B6-C6)</f>
        <v/>
      </c>
      <c r="E6" s="13">
        <f>IF(OR(C6="",C6=0),"",(B6-C6)/C6)</f>
        <v/>
      </c>
    </row>
    <row r="7">
      <c r="A7" s="10" t="inlineStr">
        <is>
          <t>Quem faz depósito / sinal</t>
        </is>
      </c>
      <c r="B7" s="11" t="n"/>
      <c r="C7" s="11" t="n"/>
      <c r="D7" s="12">
        <f>IF(AND(B7="",C7=""),"",B7-C7)</f>
        <v/>
      </c>
      <c r="E7" s="13">
        <f>IF(OR(C7="",C7=0),"",(B7-C7)/C7)</f>
        <v/>
      </c>
    </row>
    <row r="8">
      <c r="A8" s="10" t="inlineStr">
        <is>
          <t>Quem vem à clínica</t>
        </is>
      </c>
      <c r="B8" s="11" t="n"/>
      <c r="C8" s="11" t="n"/>
      <c r="D8" s="12">
        <f>IF(AND(B8="",C8=""),"",B8-C8)</f>
        <v/>
      </c>
      <c r="E8" s="13">
        <f>IF(OR(C8="",C8=0),"",(B8-C8)/C8)</f>
        <v/>
      </c>
    </row>
    <row r="9">
      <c r="A9" s="7" t="inlineStr">
        <is>
          <t>«Quem marca» deste ano soma-se sozinho a partir da tabela da origem, em baixo.</t>
        </is>
      </c>
    </row>
    <row r="11">
      <c r="A11" s="3" t="inlineStr">
        <is>
          <t>Origem das marcações — «Como nos conheceu?»</t>
        </is>
      </c>
    </row>
    <row r="12" ht="30" customHeight="1">
      <c r="A12" s="15" t="inlineStr">
        <is>
          <t>Canal de contacto</t>
        </is>
      </c>
      <c r="B12" s="16" t="inlineStr">
        <is>
          <t>Formulário do site</t>
        </is>
      </c>
      <c r="C12" s="16" t="inlineStr">
        <is>
          <t>Email direto</t>
        </is>
      </c>
      <c r="D12" s="16" t="inlineStr">
        <is>
          <t>Google</t>
        </is>
      </c>
      <c r="E12" s="16" t="inlineStr">
        <is>
          <t>IAs (ChatGPT, Gemini…)</t>
        </is>
      </c>
      <c r="F12" s="16" t="inlineStr">
        <is>
          <t>Redes sociais</t>
        </is>
      </c>
      <c r="G12" s="16" t="inlineStr">
        <is>
          <t>Recomendação</t>
        </is>
      </c>
      <c r="H12" s="16" t="inlineStr">
        <is>
          <t>Outro</t>
        </is>
      </c>
      <c r="I12" s="9" t="inlineStr">
        <is>
          <t>Total</t>
        </is>
      </c>
      <c r="J12" s="9" t="inlineStr">
        <is>
          <t>%</t>
        </is>
      </c>
    </row>
    <row r="13">
      <c r="A13" s="10" t="inlineStr">
        <is>
          <t>Email</t>
        </is>
      </c>
      <c r="B13" s="11" t="n"/>
      <c r="C13" s="11" t="n"/>
      <c r="D13" s="11" t="n"/>
      <c r="E13" s="11" t="n"/>
      <c r="F13" s="11" t="n"/>
      <c r="G13" s="11" t="n"/>
      <c r="H13" s="11" t="n"/>
      <c r="I13" s="17">
        <f>SUM(B13:H13)</f>
        <v/>
      </c>
      <c r="J13" s="18">
        <f>IF($I$17=0,"",I13/$I$17)</f>
        <v/>
      </c>
    </row>
    <row r="14">
      <c r="A14" s="10" t="inlineStr">
        <is>
          <t>Telefone</t>
        </is>
      </c>
      <c r="B14" s="11" t="n"/>
      <c r="C14" s="11" t="n"/>
      <c r="D14" s="11" t="n"/>
      <c r="E14" s="11" t="n"/>
      <c r="F14" s="11" t="n"/>
      <c r="G14" s="11" t="n"/>
      <c r="H14" s="11" t="n"/>
      <c r="I14" s="17">
        <f>SUM(B14:H14)</f>
        <v/>
      </c>
      <c r="J14" s="18">
        <f>IF($I$17=0,"",I14/$I$17)</f>
        <v/>
      </c>
    </row>
    <row r="15">
      <c r="A15" s="10" t="inlineStr">
        <is>
          <t>WhatsApp / mensagens</t>
        </is>
      </c>
      <c r="B15" s="11" t="n"/>
      <c r="C15" s="11" t="n"/>
      <c r="D15" s="11" t="n"/>
      <c r="E15" s="11" t="n"/>
      <c r="F15" s="11" t="n"/>
      <c r="G15" s="11" t="n"/>
      <c r="H15" s="11" t="n"/>
      <c r="I15" s="17">
        <f>SUM(B15:H15)</f>
        <v/>
      </c>
      <c r="J15" s="18">
        <f>IF($I$17=0,"",I15/$I$17)</f>
        <v/>
      </c>
    </row>
    <row r="16">
      <c r="A16" s="10" t="inlineStr">
        <is>
          <t>Presencial</t>
        </is>
      </c>
      <c r="B16" s="11" t="n"/>
      <c r="C16" s="11" t="n"/>
      <c r="D16" s="11" t="n"/>
      <c r="E16" s="11" t="n"/>
      <c r="F16" s="11" t="n"/>
      <c r="G16" s="11" t="n"/>
      <c r="H16" s="11" t="n"/>
      <c r="I16" s="17">
        <f>SUM(B16:H16)</f>
        <v/>
      </c>
      <c r="J16" s="18">
        <f>IF($I$17=0,"",I16/$I$17)</f>
        <v/>
      </c>
    </row>
    <row r="17">
      <c r="A17" s="10" t="inlineStr">
        <is>
          <t>Total</t>
        </is>
      </c>
      <c r="B17" s="17">
        <f>SUM(B13:B16)</f>
        <v/>
      </c>
      <c r="C17" s="17">
        <f>SUM(C13:C16)</f>
        <v/>
      </c>
      <c r="D17" s="17">
        <f>SUM(D13:D16)</f>
        <v/>
      </c>
      <c r="E17" s="17">
        <f>SUM(E13:E16)</f>
        <v/>
      </c>
      <c r="F17" s="17">
        <f>SUM(F13:F16)</f>
        <v/>
      </c>
      <c r="G17" s="17">
        <f>SUM(G13:G16)</f>
        <v/>
      </c>
      <c r="H17" s="17">
        <f>SUM(H13:H16)</f>
        <v/>
      </c>
      <c r="I17" s="14">
        <f>SUM(I13:I16)</f>
        <v/>
      </c>
      <c r="J17" s="19" t="n"/>
    </row>
    <row r="18">
      <c r="A18" s="10" t="inlineStr">
        <is>
          <t>%</t>
        </is>
      </c>
      <c r="B18" s="18">
        <f>IF($I$17=0,"",B17/$I$17)</f>
        <v/>
      </c>
      <c r="C18" s="18">
        <f>IF($I$17=0,"",C17/$I$17)</f>
        <v/>
      </c>
      <c r="D18" s="18">
        <f>IF($I$17=0,"",D17/$I$17)</f>
        <v/>
      </c>
      <c r="E18" s="18">
        <f>IF($I$17=0,"",E17/$I$17)</f>
        <v/>
      </c>
      <c r="F18" s="18">
        <f>IF($I$17=0,"",F17/$I$17)</f>
        <v/>
      </c>
      <c r="G18" s="18">
        <f>IF($I$17=0,"",G17/$I$17)</f>
        <v/>
      </c>
      <c r="H18" s="18">
        <f>IF($I$17=0,"",H17/$I$17)</f>
        <v/>
      </c>
      <c r="I18" s="19" t="n"/>
      <c r="J18" s="19" t="n"/>
    </row>
  </sheetData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6" t="inlineStr">
        <is>
          <t>Registo de leads — Março</t>
        </is>
      </c>
    </row>
    <row r="2">
      <c r="A2" s="7" t="inlineStr">
        <is>
          <t>Células amarelas: preencher. Células verdes: calculadas sozinhas.</t>
        </is>
      </c>
    </row>
    <row r="4">
      <c r="A4" s="8" t="inlineStr">
        <is>
          <t>Funil do mês</t>
        </is>
      </c>
      <c r="B4" s="9" t="inlineStr">
        <is>
          <t>Ano atual</t>
        </is>
      </c>
      <c r="C4" s="9" t="inlineStr">
        <is>
          <t>Ano anterior</t>
        </is>
      </c>
      <c r="D4" s="9" t="inlineStr">
        <is>
          <t>Diferença</t>
        </is>
      </c>
      <c r="E4" s="9" t="inlineStr">
        <is>
          <t>Variação</t>
        </is>
      </c>
    </row>
    <row r="5">
      <c r="A5" s="10" t="inlineStr">
        <is>
          <t>Curiosos (pedem informação)</t>
        </is>
      </c>
      <c r="B5" s="11" t="n"/>
      <c r="C5" s="11" t="n"/>
      <c r="D5" s="12">
        <f>IF(AND(B5="",C5=""),"",B5-C5)</f>
        <v/>
      </c>
      <c r="E5" s="13">
        <f>IF(OR(C5="",C5=0),"",(B5-C5)/C5)</f>
        <v/>
      </c>
    </row>
    <row r="6">
      <c r="A6" s="10" t="inlineStr">
        <is>
          <t>Quem marca</t>
        </is>
      </c>
      <c r="B6" s="14">
        <f>I17</f>
        <v/>
      </c>
      <c r="C6" s="11" t="n"/>
      <c r="D6" s="12">
        <f>IF(AND(B6="",C6=""),"",B6-C6)</f>
        <v/>
      </c>
      <c r="E6" s="13">
        <f>IF(OR(C6="",C6=0),"",(B6-C6)/C6)</f>
        <v/>
      </c>
    </row>
    <row r="7">
      <c r="A7" s="10" t="inlineStr">
        <is>
          <t>Quem faz depósito / sinal</t>
        </is>
      </c>
      <c r="B7" s="11" t="n"/>
      <c r="C7" s="11" t="n"/>
      <c r="D7" s="12">
        <f>IF(AND(B7="",C7=""),"",B7-C7)</f>
        <v/>
      </c>
      <c r="E7" s="13">
        <f>IF(OR(C7="",C7=0),"",(B7-C7)/C7)</f>
        <v/>
      </c>
    </row>
    <row r="8">
      <c r="A8" s="10" t="inlineStr">
        <is>
          <t>Quem vem à clínica</t>
        </is>
      </c>
      <c r="B8" s="11" t="n"/>
      <c r="C8" s="11" t="n"/>
      <c r="D8" s="12">
        <f>IF(AND(B8="",C8=""),"",B8-C8)</f>
        <v/>
      </c>
      <c r="E8" s="13">
        <f>IF(OR(C8="",C8=0),"",(B8-C8)/C8)</f>
        <v/>
      </c>
    </row>
    <row r="9">
      <c r="A9" s="7" t="inlineStr">
        <is>
          <t>«Quem marca» deste ano soma-se sozinho a partir da tabela da origem, em baixo.</t>
        </is>
      </c>
    </row>
    <row r="11">
      <c r="A11" s="3" t="inlineStr">
        <is>
          <t>Origem das marcações — «Como nos conheceu?»</t>
        </is>
      </c>
    </row>
    <row r="12" ht="30" customHeight="1">
      <c r="A12" s="15" t="inlineStr">
        <is>
          <t>Canal de contacto</t>
        </is>
      </c>
      <c r="B12" s="16" t="inlineStr">
        <is>
          <t>Formulário do site</t>
        </is>
      </c>
      <c r="C12" s="16" t="inlineStr">
        <is>
          <t>Email direto</t>
        </is>
      </c>
      <c r="D12" s="16" t="inlineStr">
        <is>
          <t>Google</t>
        </is>
      </c>
      <c r="E12" s="16" t="inlineStr">
        <is>
          <t>IAs (ChatGPT, Gemini…)</t>
        </is>
      </c>
      <c r="F12" s="16" t="inlineStr">
        <is>
          <t>Redes sociais</t>
        </is>
      </c>
      <c r="G12" s="16" t="inlineStr">
        <is>
          <t>Recomendação</t>
        </is>
      </c>
      <c r="H12" s="16" t="inlineStr">
        <is>
          <t>Outro</t>
        </is>
      </c>
      <c r="I12" s="9" t="inlineStr">
        <is>
          <t>Total</t>
        </is>
      </c>
      <c r="J12" s="9" t="inlineStr">
        <is>
          <t>%</t>
        </is>
      </c>
    </row>
    <row r="13">
      <c r="A13" s="10" t="inlineStr">
        <is>
          <t>Email</t>
        </is>
      </c>
      <c r="B13" s="11" t="n"/>
      <c r="C13" s="11" t="n"/>
      <c r="D13" s="11" t="n"/>
      <c r="E13" s="11" t="n"/>
      <c r="F13" s="11" t="n"/>
      <c r="G13" s="11" t="n"/>
      <c r="H13" s="11" t="n"/>
      <c r="I13" s="17">
        <f>SUM(B13:H13)</f>
        <v/>
      </c>
      <c r="J13" s="18">
        <f>IF($I$17=0,"",I13/$I$17)</f>
        <v/>
      </c>
    </row>
    <row r="14">
      <c r="A14" s="10" t="inlineStr">
        <is>
          <t>Telefone</t>
        </is>
      </c>
      <c r="B14" s="11" t="n"/>
      <c r="C14" s="11" t="n"/>
      <c r="D14" s="11" t="n"/>
      <c r="E14" s="11" t="n"/>
      <c r="F14" s="11" t="n"/>
      <c r="G14" s="11" t="n"/>
      <c r="H14" s="11" t="n"/>
      <c r="I14" s="17">
        <f>SUM(B14:H14)</f>
        <v/>
      </c>
      <c r="J14" s="18">
        <f>IF($I$17=0,"",I14/$I$17)</f>
        <v/>
      </c>
    </row>
    <row r="15">
      <c r="A15" s="10" t="inlineStr">
        <is>
          <t>WhatsApp / mensagens</t>
        </is>
      </c>
      <c r="B15" s="11" t="n"/>
      <c r="C15" s="11" t="n"/>
      <c r="D15" s="11" t="n"/>
      <c r="E15" s="11" t="n"/>
      <c r="F15" s="11" t="n"/>
      <c r="G15" s="11" t="n"/>
      <c r="H15" s="11" t="n"/>
      <c r="I15" s="17">
        <f>SUM(B15:H15)</f>
        <v/>
      </c>
      <c r="J15" s="18">
        <f>IF($I$17=0,"",I15/$I$17)</f>
        <v/>
      </c>
    </row>
    <row r="16">
      <c r="A16" s="10" t="inlineStr">
        <is>
          <t>Presencial</t>
        </is>
      </c>
      <c r="B16" s="11" t="n"/>
      <c r="C16" s="11" t="n"/>
      <c r="D16" s="11" t="n"/>
      <c r="E16" s="11" t="n"/>
      <c r="F16" s="11" t="n"/>
      <c r="G16" s="11" t="n"/>
      <c r="H16" s="11" t="n"/>
      <c r="I16" s="17">
        <f>SUM(B16:H16)</f>
        <v/>
      </c>
      <c r="J16" s="18">
        <f>IF($I$17=0,"",I16/$I$17)</f>
        <v/>
      </c>
    </row>
    <row r="17">
      <c r="A17" s="10" t="inlineStr">
        <is>
          <t>Total</t>
        </is>
      </c>
      <c r="B17" s="17">
        <f>SUM(B13:B16)</f>
        <v/>
      </c>
      <c r="C17" s="17">
        <f>SUM(C13:C16)</f>
        <v/>
      </c>
      <c r="D17" s="17">
        <f>SUM(D13:D16)</f>
        <v/>
      </c>
      <c r="E17" s="17">
        <f>SUM(E13:E16)</f>
        <v/>
      </c>
      <c r="F17" s="17">
        <f>SUM(F13:F16)</f>
        <v/>
      </c>
      <c r="G17" s="17">
        <f>SUM(G13:G16)</f>
        <v/>
      </c>
      <c r="H17" s="17">
        <f>SUM(H13:H16)</f>
        <v/>
      </c>
      <c r="I17" s="14">
        <f>SUM(I13:I16)</f>
        <v/>
      </c>
      <c r="J17" s="19" t="n"/>
    </row>
    <row r="18">
      <c r="A18" s="10" t="inlineStr">
        <is>
          <t>%</t>
        </is>
      </c>
      <c r="B18" s="18">
        <f>IF($I$17=0,"",B17/$I$17)</f>
        <v/>
      </c>
      <c r="C18" s="18">
        <f>IF($I$17=0,"",C17/$I$17)</f>
        <v/>
      </c>
      <c r="D18" s="18">
        <f>IF($I$17=0,"",D17/$I$17)</f>
        <v/>
      </c>
      <c r="E18" s="18">
        <f>IF($I$17=0,"",E17/$I$17)</f>
        <v/>
      </c>
      <c r="F18" s="18">
        <f>IF($I$17=0,"",F17/$I$17)</f>
        <v/>
      </c>
      <c r="G18" s="18">
        <f>IF($I$17=0,"",G17/$I$17)</f>
        <v/>
      </c>
      <c r="H18" s="18">
        <f>IF($I$17=0,"",H17/$I$17)</f>
        <v/>
      </c>
      <c r="I18" s="19" t="n"/>
      <c r="J18" s="19" t="n"/>
    </row>
  </sheetData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6" t="inlineStr">
        <is>
          <t>Registo de leads — Abril</t>
        </is>
      </c>
    </row>
    <row r="2">
      <c r="A2" s="7" t="inlineStr">
        <is>
          <t>Células amarelas: preencher. Células verdes: calculadas sozinhas.</t>
        </is>
      </c>
    </row>
    <row r="4">
      <c r="A4" s="8" t="inlineStr">
        <is>
          <t>Funil do mês</t>
        </is>
      </c>
      <c r="B4" s="9" t="inlineStr">
        <is>
          <t>Ano atual</t>
        </is>
      </c>
      <c r="C4" s="9" t="inlineStr">
        <is>
          <t>Ano anterior</t>
        </is>
      </c>
      <c r="D4" s="9" t="inlineStr">
        <is>
          <t>Diferença</t>
        </is>
      </c>
      <c r="E4" s="9" t="inlineStr">
        <is>
          <t>Variação</t>
        </is>
      </c>
    </row>
    <row r="5">
      <c r="A5" s="10" t="inlineStr">
        <is>
          <t>Curiosos (pedem informação)</t>
        </is>
      </c>
      <c r="B5" s="11" t="n"/>
      <c r="C5" s="11" t="n"/>
      <c r="D5" s="12">
        <f>IF(AND(B5="",C5=""),"",B5-C5)</f>
        <v/>
      </c>
      <c r="E5" s="13">
        <f>IF(OR(C5="",C5=0),"",(B5-C5)/C5)</f>
        <v/>
      </c>
    </row>
    <row r="6">
      <c r="A6" s="10" t="inlineStr">
        <is>
          <t>Quem marca</t>
        </is>
      </c>
      <c r="B6" s="14">
        <f>I17</f>
        <v/>
      </c>
      <c r="C6" s="11" t="n"/>
      <c r="D6" s="12">
        <f>IF(AND(B6="",C6=""),"",B6-C6)</f>
        <v/>
      </c>
      <c r="E6" s="13">
        <f>IF(OR(C6="",C6=0),"",(B6-C6)/C6)</f>
        <v/>
      </c>
    </row>
    <row r="7">
      <c r="A7" s="10" t="inlineStr">
        <is>
          <t>Quem faz depósito / sinal</t>
        </is>
      </c>
      <c r="B7" s="11" t="n"/>
      <c r="C7" s="11" t="n"/>
      <c r="D7" s="12">
        <f>IF(AND(B7="",C7=""),"",B7-C7)</f>
        <v/>
      </c>
      <c r="E7" s="13">
        <f>IF(OR(C7="",C7=0),"",(B7-C7)/C7)</f>
        <v/>
      </c>
    </row>
    <row r="8">
      <c r="A8" s="10" t="inlineStr">
        <is>
          <t>Quem vem à clínica</t>
        </is>
      </c>
      <c r="B8" s="11" t="n"/>
      <c r="C8" s="11" t="n"/>
      <c r="D8" s="12">
        <f>IF(AND(B8="",C8=""),"",B8-C8)</f>
        <v/>
      </c>
      <c r="E8" s="13">
        <f>IF(OR(C8="",C8=0),"",(B8-C8)/C8)</f>
        <v/>
      </c>
    </row>
    <row r="9">
      <c r="A9" s="7" t="inlineStr">
        <is>
          <t>«Quem marca» deste ano soma-se sozinho a partir da tabela da origem, em baixo.</t>
        </is>
      </c>
    </row>
    <row r="11">
      <c r="A11" s="3" t="inlineStr">
        <is>
          <t>Origem das marcações — «Como nos conheceu?»</t>
        </is>
      </c>
    </row>
    <row r="12" ht="30" customHeight="1">
      <c r="A12" s="15" t="inlineStr">
        <is>
          <t>Canal de contacto</t>
        </is>
      </c>
      <c r="B12" s="16" t="inlineStr">
        <is>
          <t>Formulário do site</t>
        </is>
      </c>
      <c r="C12" s="16" t="inlineStr">
        <is>
          <t>Email direto</t>
        </is>
      </c>
      <c r="D12" s="16" t="inlineStr">
        <is>
          <t>Google</t>
        </is>
      </c>
      <c r="E12" s="16" t="inlineStr">
        <is>
          <t>IAs (ChatGPT, Gemini…)</t>
        </is>
      </c>
      <c r="F12" s="16" t="inlineStr">
        <is>
          <t>Redes sociais</t>
        </is>
      </c>
      <c r="G12" s="16" t="inlineStr">
        <is>
          <t>Recomendação</t>
        </is>
      </c>
      <c r="H12" s="16" t="inlineStr">
        <is>
          <t>Outro</t>
        </is>
      </c>
      <c r="I12" s="9" t="inlineStr">
        <is>
          <t>Total</t>
        </is>
      </c>
      <c r="J12" s="9" t="inlineStr">
        <is>
          <t>%</t>
        </is>
      </c>
    </row>
    <row r="13">
      <c r="A13" s="10" t="inlineStr">
        <is>
          <t>Email</t>
        </is>
      </c>
      <c r="B13" s="11" t="n"/>
      <c r="C13" s="11" t="n"/>
      <c r="D13" s="11" t="n"/>
      <c r="E13" s="11" t="n"/>
      <c r="F13" s="11" t="n"/>
      <c r="G13" s="11" t="n"/>
      <c r="H13" s="11" t="n"/>
      <c r="I13" s="17">
        <f>SUM(B13:H13)</f>
        <v/>
      </c>
      <c r="J13" s="18">
        <f>IF($I$17=0,"",I13/$I$17)</f>
        <v/>
      </c>
    </row>
    <row r="14">
      <c r="A14" s="10" t="inlineStr">
        <is>
          <t>Telefone</t>
        </is>
      </c>
      <c r="B14" s="11" t="n"/>
      <c r="C14" s="11" t="n"/>
      <c r="D14" s="11" t="n"/>
      <c r="E14" s="11" t="n"/>
      <c r="F14" s="11" t="n"/>
      <c r="G14" s="11" t="n"/>
      <c r="H14" s="11" t="n"/>
      <c r="I14" s="17">
        <f>SUM(B14:H14)</f>
        <v/>
      </c>
      <c r="J14" s="18">
        <f>IF($I$17=0,"",I14/$I$17)</f>
        <v/>
      </c>
    </row>
    <row r="15">
      <c r="A15" s="10" t="inlineStr">
        <is>
          <t>WhatsApp / mensagens</t>
        </is>
      </c>
      <c r="B15" s="11" t="n"/>
      <c r="C15" s="11" t="n"/>
      <c r="D15" s="11" t="n"/>
      <c r="E15" s="11" t="n"/>
      <c r="F15" s="11" t="n"/>
      <c r="G15" s="11" t="n"/>
      <c r="H15" s="11" t="n"/>
      <c r="I15" s="17">
        <f>SUM(B15:H15)</f>
        <v/>
      </c>
      <c r="J15" s="18">
        <f>IF($I$17=0,"",I15/$I$17)</f>
        <v/>
      </c>
    </row>
    <row r="16">
      <c r="A16" s="10" t="inlineStr">
        <is>
          <t>Presencial</t>
        </is>
      </c>
      <c r="B16" s="11" t="n"/>
      <c r="C16" s="11" t="n"/>
      <c r="D16" s="11" t="n"/>
      <c r="E16" s="11" t="n"/>
      <c r="F16" s="11" t="n"/>
      <c r="G16" s="11" t="n"/>
      <c r="H16" s="11" t="n"/>
      <c r="I16" s="17">
        <f>SUM(B16:H16)</f>
        <v/>
      </c>
      <c r="J16" s="18">
        <f>IF($I$17=0,"",I16/$I$17)</f>
        <v/>
      </c>
    </row>
    <row r="17">
      <c r="A17" s="10" t="inlineStr">
        <is>
          <t>Total</t>
        </is>
      </c>
      <c r="B17" s="17">
        <f>SUM(B13:B16)</f>
        <v/>
      </c>
      <c r="C17" s="17">
        <f>SUM(C13:C16)</f>
        <v/>
      </c>
      <c r="D17" s="17">
        <f>SUM(D13:D16)</f>
        <v/>
      </c>
      <c r="E17" s="17">
        <f>SUM(E13:E16)</f>
        <v/>
      </c>
      <c r="F17" s="17">
        <f>SUM(F13:F16)</f>
        <v/>
      </c>
      <c r="G17" s="17">
        <f>SUM(G13:G16)</f>
        <v/>
      </c>
      <c r="H17" s="17">
        <f>SUM(H13:H16)</f>
        <v/>
      </c>
      <c r="I17" s="14">
        <f>SUM(I13:I16)</f>
        <v/>
      </c>
      <c r="J17" s="19" t="n"/>
    </row>
    <row r="18">
      <c r="A18" s="10" t="inlineStr">
        <is>
          <t>%</t>
        </is>
      </c>
      <c r="B18" s="18">
        <f>IF($I$17=0,"",B17/$I$17)</f>
        <v/>
      </c>
      <c r="C18" s="18">
        <f>IF($I$17=0,"",C17/$I$17)</f>
        <v/>
      </c>
      <c r="D18" s="18">
        <f>IF($I$17=0,"",D17/$I$17)</f>
        <v/>
      </c>
      <c r="E18" s="18">
        <f>IF($I$17=0,"",E17/$I$17)</f>
        <v/>
      </c>
      <c r="F18" s="18">
        <f>IF($I$17=0,"",F17/$I$17)</f>
        <v/>
      </c>
      <c r="G18" s="18">
        <f>IF($I$17=0,"",G17/$I$17)</f>
        <v/>
      </c>
      <c r="H18" s="18">
        <f>IF($I$17=0,"",H17/$I$17)</f>
        <v/>
      </c>
      <c r="I18" s="19" t="n"/>
      <c r="J18" s="19" t="n"/>
    </row>
  </sheetData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6" t="inlineStr">
        <is>
          <t>Registo de leads — Maio</t>
        </is>
      </c>
    </row>
    <row r="2">
      <c r="A2" s="7" t="inlineStr">
        <is>
          <t>Células amarelas: preencher. Células verdes: calculadas sozinhas.</t>
        </is>
      </c>
    </row>
    <row r="4">
      <c r="A4" s="8" t="inlineStr">
        <is>
          <t>Funil do mês</t>
        </is>
      </c>
      <c r="B4" s="9" t="inlineStr">
        <is>
          <t>Ano atual</t>
        </is>
      </c>
      <c r="C4" s="9" t="inlineStr">
        <is>
          <t>Ano anterior</t>
        </is>
      </c>
      <c r="D4" s="9" t="inlineStr">
        <is>
          <t>Diferença</t>
        </is>
      </c>
      <c r="E4" s="9" t="inlineStr">
        <is>
          <t>Variação</t>
        </is>
      </c>
    </row>
    <row r="5">
      <c r="A5" s="10" t="inlineStr">
        <is>
          <t>Curiosos (pedem informação)</t>
        </is>
      </c>
      <c r="B5" s="11" t="n"/>
      <c r="C5" s="11" t="n"/>
      <c r="D5" s="12">
        <f>IF(AND(B5="",C5=""),"",B5-C5)</f>
        <v/>
      </c>
      <c r="E5" s="13">
        <f>IF(OR(C5="",C5=0),"",(B5-C5)/C5)</f>
        <v/>
      </c>
    </row>
    <row r="6">
      <c r="A6" s="10" t="inlineStr">
        <is>
          <t>Quem marca</t>
        </is>
      </c>
      <c r="B6" s="14">
        <f>I17</f>
        <v/>
      </c>
      <c r="C6" s="11" t="n"/>
      <c r="D6" s="12">
        <f>IF(AND(B6="",C6=""),"",B6-C6)</f>
        <v/>
      </c>
      <c r="E6" s="13">
        <f>IF(OR(C6="",C6=0),"",(B6-C6)/C6)</f>
        <v/>
      </c>
    </row>
    <row r="7">
      <c r="A7" s="10" t="inlineStr">
        <is>
          <t>Quem faz depósito / sinal</t>
        </is>
      </c>
      <c r="B7" s="11" t="n"/>
      <c r="C7" s="11" t="n"/>
      <c r="D7" s="12">
        <f>IF(AND(B7="",C7=""),"",B7-C7)</f>
        <v/>
      </c>
      <c r="E7" s="13">
        <f>IF(OR(C7="",C7=0),"",(B7-C7)/C7)</f>
        <v/>
      </c>
    </row>
    <row r="8">
      <c r="A8" s="10" t="inlineStr">
        <is>
          <t>Quem vem à clínica</t>
        </is>
      </c>
      <c r="B8" s="11" t="n"/>
      <c r="C8" s="11" t="n"/>
      <c r="D8" s="12">
        <f>IF(AND(B8="",C8=""),"",B8-C8)</f>
        <v/>
      </c>
      <c r="E8" s="13">
        <f>IF(OR(C8="",C8=0),"",(B8-C8)/C8)</f>
        <v/>
      </c>
    </row>
    <row r="9">
      <c r="A9" s="7" t="inlineStr">
        <is>
          <t>«Quem marca» deste ano soma-se sozinho a partir da tabela da origem, em baixo.</t>
        </is>
      </c>
    </row>
    <row r="11">
      <c r="A11" s="3" t="inlineStr">
        <is>
          <t>Origem das marcações — «Como nos conheceu?»</t>
        </is>
      </c>
    </row>
    <row r="12" ht="30" customHeight="1">
      <c r="A12" s="15" t="inlineStr">
        <is>
          <t>Canal de contacto</t>
        </is>
      </c>
      <c r="B12" s="16" t="inlineStr">
        <is>
          <t>Formulário do site</t>
        </is>
      </c>
      <c r="C12" s="16" t="inlineStr">
        <is>
          <t>Email direto</t>
        </is>
      </c>
      <c r="D12" s="16" t="inlineStr">
        <is>
          <t>Google</t>
        </is>
      </c>
      <c r="E12" s="16" t="inlineStr">
        <is>
          <t>IAs (ChatGPT, Gemini…)</t>
        </is>
      </c>
      <c r="F12" s="16" t="inlineStr">
        <is>
          <t>Redes sociais</t>
        </is>
      </c>
      <c r="G12" s="16" t="inlineStr">
        <is>
          <t>Recomendação</t>
        </is>
      </c>
      <c r="H12" s="16" t="inlineStr">
        <is>
          <t>Outro</t>
        </is>
      </c>
      <c r="I12" s="9" t="inlineStr">
        <is>
          <t>Total</t>
        </is>
      </c>
      <c r="J12" s="9" t="inlineStr">
        <is>
          <t>%</t>
        </is>
      </c>
    </row>
    <row r="13">
      <c r="A13" s="10" t="inlineStr">
        <is>
          <t>Email</t>
        </is>
      </c>
      <c r="B13" s="11" t="n"/>
      <c r="C13" s="11" t="n"/>
      <c r="D13" s="11" t="n"/>
      <c r="E13" s="11" t="n"/>
      <c r="F13" s="11" t="n"/>
      <c r="G13" s="11" t="n"/>
      <c r="H13" s="11" t="n"/>
      <c r="I13" s="17">
        <f>SUM(B13:H13)</f>
        <v/>
      </c>
      <c r="J13" s="18">
        <f>IF($I$17=0,"",I13/$I$17)</f>
        <v/>
      </c>
    </row>
    <row r="14">
      <c r="A14" s="10" t="inlineStr">
        <is>
          <t>Telefone</t>
        </is>
      </c>
      <c r="B14" s="11" t="n"/>
      <c r="C14" s="11" t="n"/>
      <c r="D14" s="11" t="n"/>
      <c r="E14" s="11" t="n"/>
      <c r="F14" s="11" t="n"/>
      <c r="G14" s="11" t="n"/>
      <c r="H14" s="11" t="n"/>
      <c r="I14" s="17">
        <f>SUM(B14:H14)</f>
        <v/>
      </c>
      <c r="J14" s="18">
        <f>IF($I$17=0,"",I14/$I$17)</f>
        <v/>
      </c>
    </row>
    <row r="15">
      <c r="A15" s="10" t="inlineStr">
        <is>
          <t>WhatsApp / mensagens</t>
        </is>
      </c>
      <c r="B15" s="11" t="n"/>
      <c r="C15" s="11" t="n"/>
      <c r="D15" s="11" t="n"/>
      <c r="E15" s="11" t="n"/>
      <c r="F15" s="11" t="n"/>
      <c r="G15" s="11" t="n"/>
      <c r="H15" s="11" t="n"/>
      <c r="I15" s="17">
        <f>SUM(B15:H15)</f>
        <v/>
      </c>
      <c r="J15" s="18">
        <f>IF($I$17=0,"",I15/$I$17)</f>
        <v/>
      </c>
    </row>
    <row r="16">
      <c r="A16" s="10" t="inlineStr">
        <is>
          <t>Presencial</t>
        </is>
      </c>
      <c r="B16" s="11" t="n"/>
      <c r="C16" s="11" t="n"/>
      <c r="D16" s="11" t="n"/>
      <c r="E16" s="11" t="n"/>
      <c r="F16" s="11" t="n"/>
      <c r="G16" s="11" t="n"/>
      <c r="H16" s="11" t="n"/>
      <c r="I16" s="17">
        <f>SUM(B16:H16)</f>
        <v/>
      </c>
      <c r="J16" s="18">
        <f>IF($I$17=0,"",I16/$I$17)</f>
        <v/>
      </c>
    </row>
    <row r="17">
      <c r="A17" s="10" t="inlineStr">
        <is>
          <t>Total</t>
        </is>
      </c>
      <c r="B17" s="17">
        <f>SUM(B13:B16)</f>
        <v/>
      </c>
      <c r="C17" s="17">
        <f>SUM(C13:C16)</f>
        <v/>
      </c>
      <c r="D17" s="17">
        <f>SUM(D13:D16)</f>
        <v/>
      </c>
      <c r="E17" s="17">
        <f>SUM(E13:E16)</f>
        <v/>
      </c>
      <c r="F17" s="17">
        <f>SUM(F13:F16)</f>
        <v/>
      </c>
      <c r="G17" s="17">
        <f>SUM(G13:G16)</f>
        <v/>
      </c>
      <c r="H17" s="17">
        <f>SUM(H13:H16)</f>
        <v/>
      </c>
      <c r="I17" s="14">
        <f>SUM(I13:I16)</f>
        <v/>
      </c>
      <c r="J17" s="19" t="n"/>
    </row>
    <row r="18">
      <c r="A18" s="10" t="inlineStr">
        <is>
          <t>%</t>
        </is>
      </c>
      <c r="B18" s="18">
        <f>IF($I$17=0,"",B17/$I$17)</f>
        <v/>
      </c>
      <c r="C18" s="18">
        <f>IF($I$17=0,"",C17/$I$17)</f>
        <v/>
      </c>
      <c r="D18" s="18">
        <f>IF($I$17=0,"",D17/$I$17)</f>
        <v/>
      </c>
      <c r="E18" s="18">
        <f>IF($I$17=0,"",E17/$I$17)</f>
        <v/>
      </c>
      <c r="F18" s="18">
        <f>IF($I$17=0,"",F17/$I$17)</f>
        <v/>
      </c>
      <c r="G18" s="18">
        <f>IF($I$17=0,"",G17/$I$17)</f>
        <v/>
      </c>
      <c r="H18" s="18">
        <f>IF($I$17=0,"",H17/$I$17)</f>
        <v/>
      </c>
      <c r="I18" s="19" t="n"/>
      <c r="J18" s="19" t="n"/>
    </row>
  </sheetData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6" t="inlineStr">
        <is>
          <t>Registo de leads — Junho</t>
        </is>
      </c>
    </row>
    <row r="2">
      <c r="A2" s="7" t="inlineStr">
        <is>
          <t>Células amarelas: preencher. Células verdes: calculadas sozinhas.</t>
        </is>
      </c>
    </row>
    <row r="4">
      <c r="A4" s="8" t="inlineStr">
        <is>
          <t>Funil do mês</t>
        </is>
      </c>
      <c r="B4" s="9" t="inlineStr">
        <is>
          <t>Ano atual</t>
        </is>
      </c>
      <c r="C4" s="9" t="inlineStr">
        <is>
          <t>Ano anterior</t>
        </is>
      </c>
      <c r="D4" s="9" t="inlineStr">
        <is>
          <t>Diferença</t>
        </is>
      </c>
      <c r="E4" s="9" t="inlineStr">
        <is>
          <t>Variação</t>
        </is>
      </c>
    </row>
    <row r="5">
      <c r="A5" s="10" t="inlineStr">
        <is>
          <t>Curiosos (pedem informação)</t>
        </is>
      </c>
      <c r="B5" s="11" t="n"/>
      <c r="C5" s="11" t="n"/>
      <c r="D5" s="12">
        <f>IF(AND(B5="",C5=""),"",B5-C5)</f>
        <v/>
      </c>
      <c r="E5" s="13">
        <f>IF(OR(C5="",C5=0),"",(B5-C5)/C5)</f>
        <v/>
      </c>
    </row>
    <row r="6">
      <c r="A6" s="10" t="inlineStr">
        <is>
          <t>Quem marca</t>
        </is>
      </c>
      <c r="B6" s="14">
        <f>I17</f>
        <v/>
      </c>
      <c r="C6" s="11" t="n"/>
      <c r="D6" s="12">
        <f>IF(AND(B6="",C6=""),"",B6-C6)</f>
        <v/>
      </c>
      <c r="E6" s="13">
        <f>IF(OR(C6="",C6=0),"",(B6-C6)/C6)</f>
        <v/>
      </c>
    </row>
    <row r="7">
      <c r="A7" s="10" t="inlineStr">
        <is>
          <t>Quem faz depósito / sinal</t>
        </is>
      </c>
      <c r="B7" s="11" t="n"/>
      <c r="C7" s="11" t="n"/>
      <c r="D7" s="12">
        <f>IF(AND(B7="",C7=""),"",B7-C7)</f>
        <v/>
      </c>
      <c r="E7" s="13">
        <f>IF(OR(C7="",C7=0),"",(B7-C7)/C7)</f>
        <v/>
      </c>
    </row>
    <row r="8">
      <c r="A8" s="10" t="inlineStr">
        <is>
          <t>Quem vem à clínica</t>
        </is>
      </c>
      <c r="B8" s="11" t="n"/>
      <c r="C8" s="11" t="n"/>
      <c r="D8" s="12">
        <f>IF(AND(B8="",C8=""),"",B8-C8)</f>
        <v/>
      </c>
      <c r="E8" s="13">
        <f>IF(OR(C8="",C8=0),"",(B8-C8)/C8)</f>
        <v/>
      </c>
    </row>
    <row r="9">
      <c r="A9" s="7" t="inlineStr">
        <is>
          <t>«Quem marca» deste ano soma-se sozinho a partir da tabela da origem, em baixo.</t>
        </is>
      </c>
    </row>
    <row r="11">
      <c r="A11" s="3" t="inlineStr">
        <is>
          <t>Origem das marcações — «Como nos conheceu?»</t>
        </is>
      </c>
    </row>
    <row r="12" ht="30" customHeight="1">
      <c r="A12" s="15" t="inlineStr">
        <is>
          <t>Canal de contacto</t>
        </is>
      </c>
      <c r="B12" s="16" t="inlineStr">
        <is>
          <t>Formulário do site</t>
        </is>
      </c>
      <c r="C12" s="16" t="inlineStr">
        <is>
          <t>Email direto</t>
        </is>
      </c>
      <c r="D12" s="16" t="inlineStr">
        <is>
          <t>Google</t>
        </is>
      </c>
      <c r="E12" s="16" t="inlineStr">
        <is>
          <t>IAs (ChatGPT, Gemini…)</t>
        </is>
      </c>
      <c r="F12" s="16" t="inlineStr">
        <is>
          <t>Redes sociais</t>
        </is>
      </c>
      <c r="G12" s="16" t="inlineStr">
        <is>
          <t>Recomendação</t>
        </is>
      </c>
      <c r="H12" s="16" t="inlineStr">
        <is>
          <t>Outro</t>
        </is>
      </c>
      <c r="I12" s="9" t="inlineStr">
        <is>
          <t>Total</t>
        </is>
      </c>
      <c r="J12" s="9" t="inlineStr">
        <is>
          <t>%</t>
        </is>
      </c>
    </row>
    <row r="13">
      <c r="A13" s="10" t="inlineStr">
        <is>
          <t>Email</t>
        </is>
      </c>
      <c r="B13" s="11" t="n"/>
      <c r="C13" s="11" t="n"/>
      <c r="D13" s="11" t="n"/>
      <c r="E13" s="11" t="n"/>
      <c r="F13" s="11" t="n"/>
      <c r="G13" s="11" t="n"/>
      <c r="H13" s="11" t="n"/>
      <c r="I13" s="17">
        <f>SUM(B13:H13)</f>
        <v/>
      </c>
      <c r="J13" s="18">
        <f>IF($I$17=0,"",I13/$I$17)</f>
        <v/>
      </c>
    </row>
    <row r="14">
      <c r="A14" s="10" t="inlineStr">
        <is>
          <t>Telefone</t>
        </is>
      </c>
      <c r="B14" s="11" t="n"/>
      <c r="C14" s="11" t="n"/>
      <c r="D14" s="11" t="n"/>
      <c r="E14" s="11" t="n"/>
      <c r="F14" s="11" t="n"/>
      <c r="G14" s="11" t="n"/>
      <c r="H14" s="11" t="n"/>
      <c r="I14" s="17">
        <f>SUM(B14:H14)</f>
        <v/>
      </c>
      <c r="J14" s="18">
        <f>IF($I$17=0,"",I14/$I$17)</f>
        <v/>
      </c>
    </row>
    <row r="15">
      <c r="A15" s="10" t="inlineStr">
        <is>
          <t>WhatsApp / mensagens</t>
        </is>
      </c>
      <c r="B15" s="11" t="n"/>
      <c r="C15" s="11" t="n"/>
      <c r="D15" s="11" t="n"/>
      <c r="E15" s="11" t="n"/>
      <c r="F15" s="11" t="n"/>
      <c r="G15" s="11" t="n"/>
      <c r="H15" s="11" t="n"/>
      <c r="I15" s="17">
        <f>SUM(B15:H15)</f>
        <v/>
      </c>
      <c r="J15" s="18">
        <f>IF($I$17=0,"",I15/$I$17)</f>
        <v/>
      </c>
    </row>
    <row r="16">
      <c r="A16" s="10" t="inlineStr">
        <is>
          <t>Presencial</t>
        </is>
      </c>
      <c r="B16" s="11" t="n"/>
      <c r="C16" s="11" t="n"/>
      <c r="D16" s="11" t="n"/>
      <c r="E16" s="11" t="n"/>
      <c r="F16" s="11" t="n"/>
      <c r="G16" s="11" t="n"/>
      <c r="H16" s="11" t="n"/>
      <c r="I16" s="17">
        <f>SUM(B16:H16)</f>
        <v/>
      </c>
      <c r="J16" s="18">
        <f>IF($I$17=0,"",I16/$I$17)</f>
        <v/>
      </c>
    </row>
    <row r="17">
      <c r="A17" s="10" t="inlineStr">
        <is>
          <t>Total</t>
        </is>
      </c>
      <c r="B17" s="17">
        <f>SUM(B13:B16)</f>
        <v/>
      </c>
      <c r="C17" s="17">
        <f>SUM(C13:C16)</f>
        <v/>
      </c>
      <c r="D17" s="17">
        <f>SUM(D13:D16)</f>
        <v/>
      </c>
      <c r="E17" s="17">
        <f>SUM(E13:E16)</f>
        <v/>
      </c>
      <c r="F17" s="17">
        <f>SUM(F13:F16)</f>
        <v/>
      </c>
      <c r="G17" s="17">
        <f>SUM(G13:G16)</f>
        <v/>
      </c>
      <c r="H17" s="17">
        <f>SUM(H13:H16)</f>
        <v/>
      </c>
      <c r="I17" s="14">
        <f>SUM(I13:I16)</f>
        <v/>
      </c>
      <c r="J17" s="19" t="n"/>
    </row>
    <row r="18">
      <c r="A18" s="10" t="inlineStr">
        <is>
          <t>%</t>
        </is>
      </c>
      <c r="B18" s="18">
        <f>IF($I$17=0,"",B17/$I$17)</f>
        <v/>
      </c>
      <c r="C18" s="18">
        <f>IF($I$17=0,"",C17/$I$17)</f>
        <v/>
      </c>
      <c r="D18" s="18">
        <f>IF($I$17=0,"",D17/$I$17)</f>
        <v/>
      </c>
      <c r="E18" s="18">
        <f>IF($I$17=0,"",E17/$I$17)</f>
        <v/>
      </c>
      <c r="F18" s="18">
        <f>IF($I$17=0,"",F17/$I$17)</f>
        <v/>
      </c>
      <c r="G18" s="18">
        <f>IF($I$17=0,"",G17/$I$17)</f>
        <v/>
      </c>
      <c r="H18" s="18">
        <f>IF($I$17=0,"",H17/$I$17)</f>
        <v/>
      </c>
      <c r="I18" s="19" t="n"/>
      <c r="J18" s="19" t="n"/>
    </row>
  </sheetData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6" t="inlineStr">
        <is>
          <t>Registo de leads — Julho</t>
        </is>
      </c>
    </row>
    <row r="2">
      <c r="A2" s="7" t="inlineStr">
        <is>
          <t>Células amarelas: preencher. Células verdes: calculadas sozinhas.</t>
        </is>
      </c>
    </row>
    <row r="4">
      <c r="A4" s="8" t="inlineStr">
        <is>
          <t>Funil do mês</t>
        </is>
      </c>
      <c r="B4" s="9" t="inlineStr">
        <is>
          <t>Ano atual</t>
        </is>
      </c>
      <c r="C4" s="9" t="inlineStr">
        <is>
          <t>Ano anterior</t>
        </is>
      </c>
      <c r="D4" s="9" t="inlineStr">
        <is>
          <t>Diferença</t>
        </is>
      </c>
      <c r="E4" s="9" t="inlineStr">
        <is>
          <t>Variação</t>
        </is>
      </c>
    </row>
    <row r="5">
      <c r="A5" s="10" t="inlineStr">
        <is>
          <t>Curiosos (pedem informação)</t>
        </is>
      </c>
      <c r="B5" s="11" t="n"/>
      <c r="C5" s="11" t="n"/>
      <c r="D5" s="12">
        <f>IF(AND(B5="",C5=""),"",B5-C5)</f>
        <v/>
      </c>
      <c r="E5" s="13">
        <f>IF(OR(C5="",C5=0),"",(B5-C5)/C5)</f>
        <v/>
      </c>
    </row>
    <row r="6">
      <c r="A6" s="10" t="inlineStr">
        <is>
          <t>Quem marca</t>
        </is>
      </c>
      <c r="B6" s="14">
        <f>I17</f>
        <v/>
      </c>
      <c r="C6" s="11" t="n"/>
      <c r="D6" s="12">
        <f>IF(AND(B6="",C6=""),"",B6-C6)</f>
        <v/>
      </c>
      <c r="E6" s="13">
        <f>IF(OR(C6="",C6=0),"",(B6-C6)/C6)</f>
        <v/>
      </c>
    </row>
    <row r="7">
      <c r="A7" s="10" t="inlineStr">
        <is>
          <t>Quem faz depósito / sinal</t>
        </is>
      </c>
      <c r="B7" s="11" t="n"/>
      <c r="C7" s="11" t="n"/>
      <c r="D7" s="12">
        <f>IF(AND(B7="",C7=""),"",B7-C7)</f>
        <v/>
      </c>
      <c r="E7" s="13">
        <f>IF(OR(C7="",C7=0),"",(B7-C7)/C7)</f>
        <v/>
      </c>
    </row>
    <row r="8">
      <c r="A8" s="10" t="inlineStr">
        <is>
          <t>Quem vem à clínica</t>
        </is>
      </c>
      <c r="B8" s="11" t="n"/>
      <c r="C8" s="11" t="n"/>
      <c r="D8" s="12">
        <f>IF(AND(B8="",C8=""),"",B8-C8)</f>
        <v/>
      </c>
      <c r="E8" s="13">
        <f>IF(OR(C8="",C8=0),"",(B8-C8)/C8)</f>
        <v/>
      </c>
    </row>
    <row r="9">
      <c r="A9" s="7" t="inlineStr">
        <is>
          <t>«Quem marca» deste ano soma-se sozinho a partir da tabela da origem, em baixo.</t>
        </is>
      </c>
    </row>
    <row r="11">
      <c r="A11" s="3" t="inlineStr">
        <is>
          <t>Origem das marcações — «Como nos conheceu?»</t>
        </is>
      </c>
    </row>
    <row r="12" ht="30" customHeight="1">
      <c r="A12" s="15" t="inlineStr">
        <is>
          <t>Canal de contacto</t>
        </is>
      </c>
      <c r="B12" s="16" t="inlineStr">
        <is>
          <t>Formulário do site</t>
        </is>
      </c>
      <c r="C12" s="16" t="inlineStr">
        <is>
          <t>Email direto</t>
        </is>
      </c>
      <c r="D12" s="16" t="inlineStr">
        <is>
          <t>Google</t>
        </is>
      </c>
      <c r="E12" s="16" t="inlineStr">
        <is>
          <t>IAs (ChatGPT, Gemini…)</t>
        </is>
      </c>
      <c r="F12" s="16" t="inlineStr">
        <is>
          <t>Redes sociais</t>
        </is>
      </c>
      <c r="G12" s="16" t="inlineStr">
        <is>
          <t>Recomendação</t>
        </is>
      </c>
      <c r="H12" s="16" t="inlineStr">
        <is>
          <t>Outro</t>
        </is>
      </c>
      <c r="I12" s="9" t="inlineStr">
        <is>
          <t>Total</t>
        </is>
      </c>
      <c r="J12" s="9" t="inlineStr">
        <is>
          <t>%</t>
        </is>
      </c>
    </row>
    <row r="13">
      <c r="A13" s="10" t="inlineStr">
        <is>
          <t>Email</t>
        </is>
      </c>
      <c r="B13" s="11" t="n"/>
      <c r="C13" s="11" t="n"/>
      <c r="D13" s="11" t="n"/>
      <c r="E13" s="11" t="n"/>
      <c r="F13" s="11" t="n"/>
      <c r="G13" s="11" t="n"/>
      <c r="H13" s="11" t="n"/>
      <c r="I13" s="17">
        <f>SUM(B13:H13)</f>
        <v/>
      </c>
      <c r="J13" s="18">
        <f>IF($I$17=0,"",I13/$I$17)</f>
        <v/>
      </c>
    </row>
    <row r="14">
      <c r="A14" s="10" t="inlineStr">
        <is>
          <t>Telefone</t>
        </is>
      </c>
      <c r="B14" s="11" t="n"/>
      <c r="C14" s="11" t="n"/>
      <c r="D14" s="11" t="n"/>
      <c r="E14" s="11" t="n"/>
      <c r="F14" s="11" t="n"/>
      <c r="G14" s="11" t="n"/>
      <c r="H14" s="11" t="n"/>
      <c r="I14" s="17">
        <f>SUM(B14:H14)</f>
        <v/>
      </c>
      <c r="J14" s="18">
        <f>IF($I$17=0,"",I14/$I$17)</f>
        <v/>
      </c>
    </row>
    <row r="15">
      <c r="A15" s="10" t="inlineStr">
        <is>
          <t>WhatsApp / mensagens</t>
        </is>
      </c>
      <c r="B15" s="11" t="n"/>
      <c r="C15" s="11" t="n"/>
      <c r="D15" s="11" t="n"/>
      <c r="E15" s="11" t="n"/>
      <c r="F15" s="11" t="n"/>
      <c r="G15" s="11" t="n"/>
      <c r="H15" s="11" t="n"/>
      <c r="I15" s="17">
        <f>SUM(B15:H15)</f>
        <v/>
      </c>
      <c r="J15" s="18">
        <f>IF($I$17=0,"",I15/$I$17)</f>
        <v/>
      </c>
    </row>
    <row r="16">
      <c r="A16" s="10" t="inlineStr">
        <is>
          <t>Presencial</t>
        </is>
      </c>
      <c r="B16" s="11" t="n"/>
      <c r="C16" s="11" t="n"/>
      <c r="D16" s="11" t="n"/>
      <c r="E16" s="11" t="n"/>
      <c r="F16" s="11" t="n"/>
      <c r="G16" s="11" t="n"/>
      <c r="H16" s="11" t="n"/>
      <c r="I16" s="17">
        <f>SUM(B16:H16)</f>
        <v/>
      </c>
      <c r="J16" s="18">
        <f>IF($I$17=0,"",I16/$I$17)</f>
        <v/>
      </c>
    </row>
    <row r="17">
      <c r="A17" s="10" t="inlineStr">
        <is>
          <t>Total</t>
        </is>
      </c>
      <c r="B17" s="17">
        <f>SUM(B13:B16)</f>
        <v/>
      </c>
      <c r="C17" s="17">
        <f>SUM(C13:C16)</f>
        <v/>
      </c>
      <c r="D17" s="17">
        <f>SUM(D13:D16)</f>
        <v/>
      </c>
      <c r="E17" s="17">
        <f>SUM(E13:E16)</f>
        <v/>
      </c>
      <c r="F17" s="17">
        <f>SUM(F13:F16)</f>
        <v/>
      </c>
      <c r="G17" s="17">
        <f>SUM(G13:G16)</f>
        <v/>
      </c>
      <c r="H17" s="17">
        <f>SUM(H13:H16)</f>
        <v/>
      </c>
      <c r="I17" s="14">
        <f>SUM(I13:I16)</f>
        <v/>
      </c>
      <c r="J17" s="19" t="n"/>
    </row>
    <row r="18">
      <c r="A18" s="10" t="inlineStr">
        <is>
          <t>%</t>
        </is>
      </c>
      <c r="B18" s="18">
        <f>IF($I$17=0,"",B17/$I$17)</f>
        <v/>
      </c>
      <c r="C18" s="18">
        <f>IF($I$17=0,"",C17/$I$17)</f>
        <v/>
      </c>
      <c r="D18" s="18">
        <f>IF($I$17=0,"",D17/$I$17)</f>
        <v/>
      </c>
      <c r="E18" s="18">
        <f>IF($I$17=0,"",E17/$I$17)</f>
        <v/>
      </c>
      <c r="F18" s="18">
        <f>IF($I$17=0,"",F17/$I$17)</f>
        <v/>
      </c>
      <c r="G18" s="18">
        <f>IF($I$17=0,"",G17/$I$17)</f>
        <v/>
      </c>
      <c r="H18" s="18">
        <f>IF($I$17=0,"",H17/$I$17)</f>
        <v/>
      </c>
      <c r="I18" s="19" t="n"/>
      <c r="J18" s="19" t="n"/>
    </row>
  </sheetData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6" t="inlineStr">
        <is>
          <t>Registo de leads — Agosto</t>
        </is>
      </c>
    </row>
    <row r="2">
      <c r="A2" s="7" t="inlineStr">
        <is>
          <t>Células amarelas: preencher. Células verdes: calculadas sozinhas.</t>
        </is>
      </c>
    </row>
    <row r="4">
      <c r="A4" s="8" t="inlineStr">
        <is>
          <t>Funil do mês</t>
        </is>
      </c>
      <c r="B4" s="9" t="inlineStr">
        <is>
          <t>Ano atual</t>
        </is>
      </c>
      <c r="C4" s="9" t="inlineStr">
        <is>
          <t>Ano anterior</t>
        </is>
      </c>
      <c r="D4" s="9" t="inlineStr">
        <is>
          <t>Diferença</t>
        </is>
      </c>
      <c r="E4" s="9" t="inlineStr">
        <is>
          <t>Variação</t>
        </is>
      </c>
    </row>
    <row r="5">
      <c r="A5" s="10" t="inlineStr">
        <is>
          <t>Curiosos (pedem informação)</t>
        </is>
      </c>
      <c r="B5" s="11" t="n"/>
      <c r="C5" s="11" t="n"/>
      <c r="D5" s="12">
        <f>IF(AND(B5="",C5=""),"",B5-C5)</f>
        <v/>
      </c>
      <c r="E5" s="13">
        <f>IF(OR(C5="",C5=0),"",(B5-C5)/C5)</f>
        <v/>
      </c>
    </row>
    <row r="6">
      <c r="A6" s="10" t="inlineStr">
        <is>
          <t>Quem marca</t>
        </is>
      </c>
      <c r="B6" s="14">
        <f>I17</f>
        <v/>
      </c>
      <c r="C6" s="11" t="n"/>
      <c r="D6" s="12">
        <f>IF(AND(B6="",C6=""),"",B6-C6)</f>
        <v/>
      </c>
      <c r="E6" s="13">
        <f>IF(OR(C6="",C6=0),"",(B6-C6)/C6)</f>
        <v/>
      </c>
    </row>
    <row r="7">
      <c r="A7" s="10" t="inlineStr">
        <is>
          <t>Quem faz depósito / sinal</t>
        </is>
      </c>
      <c r="B7" s="11" t="n"/>
      <c r="C7" s="11" t="n"/>
      <c r="D7" s="12">
        <f>IF(AND(B7="",C7=""),"",B7-C7)</f>
        <v/>
      </c>
      <c r="E7" s="13">
        <f>IF(OR(C7="",C7=0),"",(B7-C7)/C7)</f>
        <v/>
      </c>
    </row>
    <row r="8">
      <c r="A8" s="10" t="inlineStr">
        <is>
          <t>Quem vem à clínica</t>
        </is>
      </c>
      <c r="B8" s="11" t="n"/>
      <c r="C8" s="11" t="n"/>
      <c r="D8" s="12">
        <f>IF(AND(B8="",C8=""),"",B8-C8)</f>
        <v/>
      </c>
      <c r="E8" s="13">
        <f>IF(OR(C8="",C8=0),"",(B8-C8)/C8)</f>
        <v/>
      </c>
    </row>
    <row r="9">
      <c r="A9" s="7" t="inlineStr">
        <is>
          <t>«Quem marca» deste ano soma-se sozinho a partir da tabela da origem, em baixo.</t>
        </is>
      </c>
    </row>
    <row r="11">
      <c r="A11" s="3" t="inlineStr">
        <is>
          <t>Origem das marcações — «Como nos conheceu?»</t>
        </is>
      </c>
    </row>
    <row r="12" ht="30" customHeight="1">
      <c r="A12" s="15" t="inlineStr">
        <is>
          <t>Canal de contacto</t>
        </is>
      </c>
      <c r="B12" s="16" t="inlineStr">
        <is>
          <t>Formulário do site</t>
        </is>
      </c>
      <c r="C12" s="16" t="inlineStr">
        <is>
          <t>Email direto</t>
        </is>
      </c>
      <c r="D12" s="16" t="inlineStr">
        <is>
          <t>Google</t>
        </is>
      </c>
      <c r="E12" s="16" t="inlineStr">
        <is>
          <t>IAs (ChatGPT, Gemini…)</t>
        </is>
      </c>
      <c r="F12" s="16" t="inlineStr">
        <is>
          <t>Redes sociais</t>
        </is>
      </c>
      <c r="G12" s="16" t="inlineStr">
        <is>
          <t>Recomendação</t>
        </is>
      </c>
      <c r="H12" s="16" t="inlineStr">
        <is>
          <t>Outro</t>
        </is>
      </c>
      <c r="I12" s="9" t="inlineStr">
        <is>
          <t>Total</t>
        </is>
      </c>
      <c r="J12" s="9" t="inlineStr">
        <is>
          <t>%</t>
        </is>
      </c>
    </row>
    <row r="13">
      <c r="A13" s="10" t="inlineStr">
        <is>
          <t>Email</t>
        </is>
      </c>
      <c r="B13" s="11" t="n"/>
      <c r="C13" s="11" t="n"/>
      <c r="D13" s="11" t="n"/>
      <c r="E13" s="11" t="n"/>
      <c r="F13" s="11" t="n"/>
      <c r="G13" s="11" t="n"/>
      <c r="H13" s="11" t="n"/>
      <c r="I13" s="17">
        <f>SUM(B13:H13)</f>
        <v/>
      </c>
      <c r="J13" s="18">
        <f>IF($I$17=0,"",I13/$I$17)</f>
        <v/>
      </c>
    </row>
    <row r="14">
      <c r="A14" s="10" t="inlineStr">
        <is>
          <t>Telefone</t>
        </is>
      </c>
      <c r="B14" s="11" t="n"/>
      <c r="C14" s="11" t="n"/>
      <c r="D14" s="11" t="n"/>
      <c r="E14" s="11" t="n"/>
      <c r="F14" s="11" t="n"/>
      <c r="G14" s="11" t="n"/>
      <c r="H14" s="11" t="n"/>
      <c r="I14" s="17">
        <f>SUM(B14:H14)</f>
        <v/>
      </c>
      <c r="J14" s="18">
        <f>IF($I$17=0,"",I14/$I$17)</f>
        <v/>
      </c>
    </row>
    <row r="15">
      <c r="A15" s="10" t="inlineStr">
        <is>
          <t>WhatsApp / mensagens</t>
        </is>
      </c>
      <c r="B15" s="11" t="n"/>
      <c r="C15" s="11" t="n"/>
      <c r="D15" s="11" t="n"/>
      <c r="E15" s="11" t="n"/>
      <c r="F15" s="11" t="n"/>
      <c r="G15" s="11" t="n"/>
      <c r="H15" s="11" t="n"/>
      <c r="I15" s="17">
        <f>SUM(B15:H15)</f>
        <v/>
      </c>
      <c r="J15" s="18">
        <f>IF($I$17=0,"",I15/$I$17)</f>
        <v/>
      </c>
    </row>
    <row r="16">
      <c r="A16" s="10" t="inlineStr">
        <is>
          <t>Presencial</t>
        </is>
      </c>
      <c r="B16" s="11" t="n"/>
      <c r="C16" s="11" t="n"/>
      <c r="D16" s="11" t="n"/>
      <c r="E16" s="11" t="n"/>
      <c r="F16" s="11" t="n"/>
      <c r="G16" s="11" t="n"/>
      <c r="H16" s="11" t="n"/>
      <c r="I16" s="17">
        <f>SUM(B16:H16)</f>
        <v/>
      </c>
      <c r="J16" s="18">
        <f>IF($I$17=0,"",I16/$I$17)</f>
        <v/>
      </c>
    </row>
    <row r="17">
      <c r="A17" s="10" t="inlineStr">
        <is>
          <t>Total</t>
        </is>
      </c>
      <c r="B17" s="17">
        <f>SUM(B13:B16)</f>
        <v/>
      </c>
      <c r="C17" s="17">
        <f>SUM(C13:C16)</f>
        <v/>
      </c>
      <c r="D17" s="17">
        <f>SUM(D13:D16)</f>
        <v/>
      </c>
      <c r="E17" s="17">
        <f>SUM(E13:E16)</f>
        <v/>
      </c>
      <c r="F17" s="17">
        <f>SUM(F13:F16)</f>
        <v/>
      </c>
      <c r="G17" s="17">
        <f>SUM(G13:G16)</f>
        <v/>
      </c>
      <c r="H17" s="17">
        <f>SUM(H13:H16)</f>
        <v/>
      </c>
      <c r="I17" s="14">
        <f>SUM(I13:I16)</f>
        <v/>
      </c>
      <c r="J17" s="19" t="n"/>
    </row>
    <row r="18">
      <c r="A18" s="10" t="inlineStr">
        <is>
          <t>%</t>
        </is>
      </c>
      <c r="B18" s="18">
        <f>IF($I$17=0,"",B17/$I$17)</f>
        <v/>
      </c>
      <c r="C18" s="18">
        <f>IF($I$17=0,"",C17/$I$17)</f>
        <v/>
      </c>
      <c r="D18" s="18">
        <f>IF($I$17=0,"",D17/$I$17)</f>
        <v/>
      </c>
      <c r="E18" s="18">
        <f>IF($I$17=0,"",E17/$I$17)</f>
        <v/>
      </c>
      <c r="F18" s="18">
        <f>IF($I$17=0,"",F17/$I$17)</f>
        <v/>
      </c>
      <c r="G18" s="18">
        <f>IF($I$17=0,"",G17/$I$17)</f>
        <v/>
      </c>
      <c r="H18" s="18">
        <f>IF($I$17=0,"",H17/$I$17)</f>
        <v/>
      </c>
      <c r="I18" s="19" t="n"/>
      <c r="J18" s="19" t="n"/>
    </row>
  </sheetData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6" t="inlineStr">
        <is>
          <t>Registo de leads — Setembro</t>
        </is>
      </c>
    </row>
    <row r="2">
      <c r="A2" s="7" t="inlineStr">
        <is>
          <t>Células amarelas: preencher. Células verdes: calculadas sozinhas.</t>
        </is>
      </c>
    </row>
    <row r="4">
      <c r="A4" s="8" t="inlineStr">
        <is>
          <t>Funil do mês</t>
        </is>
      </c>
      <c r="B4" s="9" t="inlineStr">
        <is>
          <t>Ano atual</t>
        </is>
      </c>
      <c r="C4" s="9" t="inlineStr">
        <is>
          <t>Ano anterior</t>
        </is>
      </c>
      <c r="D4" s="9" t="inlineStr">
        <is>
          <t>Diferença</t>
        </is>
      </c>
      <c r="E4" s="9" t="inlineStr">
        <is>
          <t>Variação</t>
        </is>
      </c>
    </row>
    <row r="5">
      <c r="A5" s="10" t="inlineStr">
        <is>
          <t>Curiosos (pedem informação)</t>
        </is>
      </c>
      <c r="B5" s="11" t="n"/>
      <c r="C5" s="11" t="n"/>
      <c r="D5" s="12">
        <f>IF(AND(B5="",C5=""),"",B5-C5)</f>
        <v/>
      </c>
      <c r="E5" s="13">
        <f>IF(OR(C5="",C5=0),"",(B5-C5)/C5)</f>
        <v/>
      </c>
    </row>
    <row r="6">
      <c r="A6" s="10" t="inlineStr">
        <is>
          <t>Quem marca</t>
        </is>
      </c>
      <c r="B6" s="14">
        <f>I17</f>
        <v/>
      </c>
      <c r="C6" s="11" t="n"/>
      <c r="D6" s="12">
        <f>IF(AND(B6="",C6=""),"",B6-C6)</f>
        <v/>
      </c>
      <c r="E6" s="13">
        <f>IF(OR(C6="",C6=0),"",(B6-C6)/C6)</f>
        <v/>
      </c>
    </row>
    <row r="7">
      <c r="A7" s="10" t="inlineStr">
        <is>
          <t>Quem faz depósito / sinal</t>
        </is>
      </c>
      <c r="B7" s="11" t="n"/>
      <c r="C7" s="11" t="n"/>
      <c r="D7" s="12">
        <f>IF(AND(B7="",C7=""),"",B7-C7)</f>
        <v/>
      </c>
      <c r="E7" s="13">
        <f>IF(OR(C7="",C7=0),"",(B7-C7)/C7)</f>
        <v/>
      </c>
    </row>
    <row r="8">
      <c r="A8" s="10" t="inlineStr">
        <is>
          <t>Quem vem à clínica</t>
        </is>
      </c>
      <c r="B8" s="11" t="n"/>
      <c r="C8" s="11" t="n"/>
      <c r="D8" s="12">
        <f>IF(AND(B8="",C8=""),"",B8-C8)</f>
        <v/>
      </c>
      <c r="E8" s="13">
        <f>IF(OR(C8="",C8=0),"",(B8-C8)/C8)</f>
        <v/>
      </c>
    </row>
    <row r="9">
      <c r="A9" s="7" t="inlineStr">
        <is>
          <t>«Quem marca» deste ano soma-se sozinho a partir da tabela da origem, em baixo.</t>
        </is>
      </c>
    </row>
    <row r="11">
      <c r="A11" s="3" t="inlineStr">
        <is>
          <t>Origem das marcações — «Como nos conheceu?»</t>
        </is>
      </c>
    </row>
    <row r="12" ht="30" customHeight="1">
      <c r="A12" s="15" t="inlineStr">
        <is>
          <t>Canal de contacto</t>
        </is>
      </c>
      <c r="B12" s="16" t="inlineStr">
        <is>
          <t>Formulário do site</t>
        </is>
      </c>
      <c r="C12" s="16" t="inlineStr">
        <is>
          <t>Email direto</t>
        </is>
      </c>
      <c r="D12" s="16" t="inlineStr">
        <is>
          <t>Google</t>
        </is>
      </c>
      <c r="E12" s="16" t="inlineStr">
        <is>
          <t>IAs (ChatGPT, Gemini…)</t>
        </is>
      </c>
      <c r="F12" s="16" t="inlineStr">
        <is>
          <t>Redes sociais</t>
        </is>
      </c>
      <c r="G12" s="16" t="inlineStr">
        <is>
          <t>Recomendação</t>
        </is>
      </c>
      <c r="H12" s="16" t="inlineStr">
        <is>
          <t>Outro</t>
        </is>
      </c>
      <c r="I12" s="9" t="inlineStr">
        <is>
          <t>Total</t>
        </is>
      </c>
      <c r="J12" s="9" t="inlineStr">
        <is>
          <t>%</t>
        </is>
      </c>
    </row>
    <row r="13">
      <c r="A13" s="10" t="inlineStr">
        <is>
          <t>Email</t>
        </is>
      </c>
      <c r="B13" s="11" t="n"/>
      <c r="C13" s="11" t="n"/>
      <c r="D13" s="11" t="n"/>
      <c r="E13" s="11" t="n"/>
      <c r="F13" s="11" t="n"/>
      <c r="G13" s="11" t="n"/>
      <c r="H13" s="11" t="n"/>
      <c r="I13" s="17">
        <f>SUM(B13:H13)</f>
        <v/>
      </c>
      <c r="J13" s="18">
        <f>IF($I$17=0,"",I13/$I$17)</f>
        <v/>
      </c>
    </row>
    <row r="14">
      <c r="A14" s="10" t="inlineStr">
        <is>
          <t>Telefone</t>
        </is>
      </c>
      <c r="B14" s="11" t="n"/>
      <c r="C14" s="11" t="n"/>
      <c r="D14" s="11" t="n"/>
      <c r="E14" s="11" t="n"/>
      <c r="F14" s="11" t="n"/>
      <c r="G14" s="11" t="n"/>
      <c r="H14" s="11" t="n"/>
      <c r="I14" s="17">
        <f>SUM(B14:H14)</f>
        <v/>
      </c>
      <c r="J14" s="18">
        <f>IF($I$17=0,"",I14/$I$17)</f>
        <v/>
      </c>
    </row>
    <row r="15">
      <c r="A15" s="10" t="inlineStr">
        <is>
          <t>WhatsApp / mensagens</t>
        </is>
      </c>
      <c r="B15" s="11" t="n"/>
      <c r="C15" s="11" t="n"/>
      <c r="D15" s="11" t="n"/>
      <c r="E15" s="11" t="n"/>
      <c r="F15" s="11" t="n"/>
      <c r="G15" s="11" t="n"/>
      <c r="H15" s="11" t="n"/>
      <c r="I15" s="17">
        <f>SUM(B15:H15)</f>
        <v/>
      </c>
      <c r="J15" s="18">
        <f>IF($I$17=0,"",I15/$I$17)</f>
        <v/>
      </c>
    </row>
    <row r="16">
      <c r="A16" s="10" t="inlineStr">
        <is>
          <t>Presencial</t>
        </is>
      </c>
      <c r="B16" s="11" t="n"/>
      <c r="C16" s="11" t="n"/>
      <c r="D16" s="11" t="n"/>
      <c r="E16" s="11" t="n"/>
      <c r="F16" s="11" t="n"/>
      <c r="G16" s="11" t="n"/>
      <c r="H16" s="11" t="n"/>
      <c r="I16" s="17">
        <f>SUM(B16:H16)</f>
        <v/>
      </c>
      <c r="J16" s="18">
        <f>IF($I$17=0,"",I16/$I$17)</f>
        <v/>
      </c>
    </row>
    <row r="17">
      <c r="A17" s="10" t="inlineStr">
        <is>
          <t>Total</t>
        </is>
      </c>
      <c r="B17" s="17">
        <f>SUM(B13:B16)</f>
        <v/>
      </c>
      <c r="C17" s="17">
        <f>SUM(C13:C16)</f>
        <v/>
      </c>
      <c r="D17" s="17">
        <f>SUM(D13:D16)</f>
        <v/>
      </c>
      <c r="E17" s="17">
        <f>SUM(E13:E16)</f>
        <v/>
      </c>
      <c r="F17" s="17">
        <f>SUM(F13:F16)</f>
        <v/>
      </c>
      <c r="G17" s="17">
        <f>SUM(G13:G16)</f>
        <v/>
      </c>
      <c r="H17" s="17">
        <f>SUM(H13:H16)</f>
        <v/>
      </c>
      <c r="I17" s="14">
        <f>SUM(I13:I16)</f>
        <v/>
      </c>
      <c r="J17" s="19" t="n"/>
    </row>
    <row r="18">
      <c r="A18" s="10" t="inlineStr">
        <is>
          <t>%</t>
        </is>
      </c>
      <c r="B18" s="18">
        <f>IF($I$17=0,"",B17/$I$17)</f>
        <v/>
      </c>
      <c r="C18" s="18">
        <f>IF($I$17=0,"",C17/$I$17)</f>
        <v/>
      </c>
      <c r="D18" s="18">
        <f>IF($I$17=0,"",D17/$I$17)</f>
        <v/>
      </c>
      <c r="E18" s="18">
        <f>IF($I$17=0,"",E17/$I$17)</f>
        <v/>
      </c>
      <c r="F18" s="18">
        <f>IF($I$17=0,"",F17/$I$17)</f>
        <v/>
      </c>
      <c r="G18" s="18">
        <f>IF($I$17=0,"",G17/$I$17)</f>
        <v/>
      </c>
      <c r="H18" s="18">
        <f>IF($I$17=0,"",H17/$I$17)</f>
        <v/>
      </c>
      <c r="I18" s="19" t="n"/>
      <c r="J18" s="19" t="n"/>
    </row>
  </sheetData>
  <pageMargins left="0.75" right="0.75" top="1" bottom="1" header="0.5" footer="0.5"/>
  <pageSetup orientation="landscape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6" t="inlineStr">
        <is>
          <t>Registo de leads — Outubro</t>
        </is>
      </c>
    </row>
    <row r="2">
      <c r="A2" s="7" t="inlineStr">
        <is>
          <t>Células amarelas: preencher. Células verdes: calculadas sozinhas.</t>
        </is>
      </c>
    </row>
    <row r="4">
      <c r="A4" s="8" t="inlineStr">
        <is>
          <t>Funil do mês</t>
        </is>
      </c>
      <c r="B4" s="9" t="inlineStr">
        <is>
          <t>Ano atual</t>
        </is>
      </c>
      <c r="C4" s="9" t="inlineStr">
        <is>
          <t>Ano anterior</t>
        </is>
      </c>
      <c r="D4" s="9" t="inlineStr">
        <is>
          <t>Diferença</t>
        </is>
      </c>
      <c r="E4" s="9" t="inlineStr">
        <is>
          <t>Variação</t>
        </is>
      </c>
    </row>
    <row r="5">
      <c r="A5" s="10" t="inlineStr">
        <is>
          <t>Curiosos (pedem informação)</t>
        </is>
      </c>
      <c r="B5" s="11" t="n"/>
      <c r="C5" s="11" t="n"/>
      <c r="D5" s="12">
        <f>IF(AND(B5="",C5=""),"",B5-C5)</f>
        <v/>
      </c>
      <c r="E5" s="13">
        <f>IF(OR(C5="",C5=0),"",(B5-C5)/C5)</f>
        <v/>
      </c>
    </row>
    <row r="6">
      <c r="A6" s="10" t="inlineStr">
        <is>
          <t>Quem marca</t>
        </is>
      </c>
      <c r="B6" s="14">
        <f>I17</f>
        <v/>
      </c>
      <c r="C6" s="11" t="n"/>
      <c r="D6" s="12">
        <f>IF(AND(B6="",C6=""),"",B6-C6)</f>
        <v/>
      </c>
      <c r="E6" s="13">
        <f>IF(OR(C6="",C6=0),"",(B6-C6)/C6)</f>
        <v/>
      </c>
    </row>
    <row r="7">
      <c r="A7" s="10" t="inlineStr">
        <is>
          <t>Quem faz depósito / sinal</t>
        </is>
      </c>
      <c r="B7" s="11" t="n"/>
      <c r="C7" s="11" t="n"/>
      <c r="D7" s="12">
        <f>IF(AND(B7="",C7=""),"",B7-C7)</f>
        <v/>
      </c>
      <c r="E7" s="13">
        <f>IF(OR(C7="",C7=0),"",(B7-C7)/C7)</f>
        <v/>
      </c>
    </row>
    <row r="8">
      <c r="A8" s="10" t="inlineStr">
        <is>
          <t>Quem vem à clínica</t>
        </is>
      </c>
      <c r="B8" s="11" t="n"/>
      <c r="C8" s="11" t="n"/>
      <c r="D8" s="12">
        <f>IF(AND(B8="",C8=""),"",B8-C8)</f>
        <v/>
      </c>
      <c r="E8" s="13">
        <f>IF(OR(C8="",C8=0),"",(B8-C8)/C8)</f>
        <v/>
      </c>
    </row>
    <row r="9">
      <c r="A9" s="7" t="inlineStr">
        <is>
          <t>«Quem marca» deste ano soma-se sozinho a partir da tabela da origem, em baixo.</t>
        </is>
      </c>
    </row>
    <row r="11">
      <c r="A11" s="3" t="inlineStr">
        <is>
          <t>Origem das marcações — «Como nos conheceu?»</t>
        </is>
      </c>
    </row>
    <row r="12" ht="30" customHeight="1">
      <c r="A12" s="15" t="inlineStr">
        <is>
          <t>Canal de contacto</t>
        </is>
      </c>
      <c r="B12" s="16" t="inlineStr">
        <is>
          <t>Formulário do site</t>
        </is>
      </c>
      <c r="C12" s="16" t="inlineStr">
        <is>
          <t>Email direto</t>
        </is>
      </c>
      <c r="D12" s="16" t="inlineStr">
        <is>
          <t>Google</t>
        </is>
      </c>
      <c r="E12" s="16" t="inlineStr">
        <is>
          <t>IAs (ChatGPT, Gemini…)</t>
        </is>
      </c>
      <c r="F12" s="16" t="inlineStr">
        <is>
          <t>Redes sociais</t>
        </is>
      </c>
      <c r="G12" s="16" t="inlineStr">
        <is>
          <t>Recomendação</t>
        </is>
      </c>
      <c r="H12" s="16" t="inlineStr">
        <is>
          <t>Outro</t>
        </is>
      </c>
      <c r="I12" s="9" t="inlineStr">
        <is>
          <t>Total</t>
        </is>
      </c>
      <c r="J12" s="9" t="inlineStr">
        <is>
          <t>%</t>
        </is>
      </c>
    </row>
    <row r="13">
      <c r="A13" s="10" t="inlineStr">
        <is>
          <t>Email</t>
        </is>
      </c>
      <c r="B13" s="11" t="n"/>
      <c r="C13" s="11" t="n"/>
      <c r="D13" s="11" t="n"/>
      <c r="E13" s="11" t="n"/>
      <c r="F13" s="11" t="n"/>
      <c r="G13" s="11" t="n"/>
      <c r="H13" s="11" t="n"/>
      <c r="I13" s="17">
        <f>SUM(B13:H13)</f>
        <v/>
      </c>
      <c r="J13" s="18">
        <f>IF($I$17=0,"",I13/$I$17)</f>
        <v/>
      </c>
    </row>
    <row r="14">
      <c r="A14" s="10" t="inlineStr">
        <is>
          <t>Telefone</t>
        </is>
      </c>
      <c r="B14" s="11" t="n"/>
      <c r="C14" s="11" t="n"/>
      <c r="D14" s="11" t="n"/>
      <c r="E14" s="11" t="n"/>
      <c r="F14" s="11" t="n"/>
      <c r="G14" s="11" t="n"/>
      <c r="H14" s="11" t="n"/>
      <c r="I14" s="17">
        <f>SUM(B14:H14)</f>
        <v/>
      </c>
      <c r="J14" s="18">
        <f>IF($I$17=0,"",I14/$I$17)</f>
        <v/>
      </c>
    </row>
    <row r="15">
      <c r="A15" s="10" t="inlineStr">
        <is>
          <t>WhatsApp / mensagens</t>
        </is>
      </c>
      <c r="B15" s="11" t="n"/>
      <c r="C15" s="11" t="n"/>
      <c r="D15" s="11" t="n"/>
      <c r="E15" s="11" t="n"/>
      <c r="F15" s="11" t="n"/>
      <c r="G15" s="11" t="n"/>
      <c r="H15" s="11" t="n"/>
      <c r="I15" s="17">
        <f>SUM(B15:H15)</f>
        <v/>
      </c>
      <c r="J15" s="18">
        <f>IF($I$17=0,"",I15/$I$17)</f>
        <v/>
      </c>
    </row>
    <row r="16">
      <c r="A16" s="10" t="inlineStr">
        <is>
          <t>Presencial</t>
        </is>
      </c>
      <c r="B16" s="11" t="n"/>
      <c r="C16" s="11" t="n"/>
      <c r="D16" s="11" t="n"/>
      <c r="E16" s="11" t="n"/>
      <c r="F16" s="11" t="n"/>
      <c r="G16" s="11" t="n"/>
      <c r="H16" s="11" t="n"/>
      <c r="I16" s="17">
        <f>SUM(B16:H16)</f>
        <v/>
      </c>
      <c r="J16" s="18">
        <f>IF($I$17=0,"",I16/$I$17)</f>
        <v/>
      </c>
    </row>
    <row r="17">
      <c r="A17" s="10" t="inlineStr">
        <is>
          <t>Total</t>
        </is>
      </c>
      <c r="B17" s="17">
        <f>SUM(B13:B16)</f>
        <v/>
      </c>
      <c r="C17" s="17">
        <f>SUM(C13:C16)</f>
        <v/>
      </c>
      <c r="D17" s="17">
        <f>SUM(D13:D16)</f>
        <v/>
      </c>
      <c r="E17" s="17">
        <f>SUM(E13:E16)</f>
        <v/>
      </c>
      <c r="F17" s="17">
        <f>SUM(F13:F16)</f>
        <v/>
      </c>
      <c r="G17" s="17">
        <f>SUM(G13:G16)</f>
        <v/>
      </c>
      <c r="H17" s="17">
        <f>SUM(H13:H16)</f>
        <v/>
      </c>
      <c r="I17" s="14">
        <f>SUM(I13:I16)</f>
        <v/>
      </c>
      <c r="J17" s="19" t="n"/>
    </row>
    <row r="18">
      <c r="A18" s="10" t="inlineStr">
        <is>
          <t>%</t>
        </is>
      </c>
      <c r="B18" s="18">
        <f>IF($I$17=0,"",B17/$I$17)</f>
        <v/>
      </c>
      <c r="C18" s="18">
        <f>IF($I$17=0,"",C17/$I$17)</f>
        <v/>
      </c>
      <c r="D18" s="18">
        <f>IF($I$17=0,"",D17/$I$17)</f>
        <v/>
      </c>
      <c r="E18" s="18">
        <f>IF($I$17=0,"",E17/$I$17)</f>
        <v/>
      </c>
      <c r="F18" s="18">
        <f>IF($I$17=0,"",F17/$I$17)</f>
        <v/>
      </c>
      <c r="G18" s="18">
        <f>IF($I$17=0,"",G17/$I$17)</f>
        <v/>
      </c>
      <c r="H18" s="18">
        <f>IF($I$17=0,"",H17/$I$17)</f>
        <v/>
      </c>
      <c r="I18" s="19" t="n"/>
      <c r="J18" s="19" t="n"/>
    </row>
  </sheetData>
  <pageMargins left="0.75" right="0.75" top="1" bottom="1" header="0.5" footer="0.5"/>
  <pageSetup orientation="landscape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6" t="inlineStr">
        <is>
          <t>Registo de leads — Novembro</t>
        </is>
      </c>
    </row>
    <row r="2">
      <c r="A2" s="7" t="inlineStr">
        <is>
          <t>Células amarelas: preencher. Células verdes: calculadas sozinhas.</t>
        </is>
      </c>
    </row>
    <row r="4">
      <c r="A4" s="8" t="inlineStr">
        <is>
          <t>Funil do mês</t>
        </is>
      </c>
      <c r="B4" s="9" t="inlineStr">
        <is>
          <t>Ano atual</t>
        </is>
      </c>
      <c r="C4" s="9" t="inlineStr">
        <is>
          <t>Ano anterior</t>
        </is>
      </c>
      <c r="D4" s="9" t="inlineStr">
        <is>
          <t>Diferença</t>
        </is>
      </c>
      <c r="E4" s="9" t="inlineStr">
        <is>
          <t>Variação</t>
        </is>
      </c>
    </row>
    <row r="5">
      <c r="A5" s="10" t="inlineStr">
        <is>
          <t>Curiosos (pedem informação)</t>
        </is>
      </c>
      <c r="B5" s="11" t="n"/>
      <c r="C5" s="11" t="n"/>
      <c r="D5" s="12">
        <f>IF(AND(B5="",C5=""),"",B5-C5)</f>
        <v/>
      </c>
      <c r="E5" s="13">
        <f>IF(OR(C5="",C5=0),"",(B5-C5)/C5)</f>
        <v/>
      </c>
    </row>
    <row r="6">
      <c r="A6" s="10" t="inlineStr">
        <is>
          <t>Quem marca</t>
        </is>
      </c>
      <c r="B6" s="14">
        <f>I17</f>
        <v/>
      </c>
      <c r="C6" s="11" t="n"/>
      <c r="D6" s="12">
        <f>IF(AND(B6="",C6=""),"",B6-C6)</f>
        <v/>
      </c>
      <c r="E6" s="13">
        <f>IF(OR(C6="",C6=0),"",(B6-C6)/C6)</f>
        <v/>
      </c>
    </row>
    <row r="7">
      <c r="A7" s="10" t="inlineStr">
        <is>
          <t>Quem faz depósito / sinal</t>
        </is>
      </c>
      <c r="B7" s="11" t="n"/>
      <c r="C7" s="11" t="n"/>
      <c r="D7" s="12">
        <f>IF(AND(B7="",C7=""),"",B7-C7)</f>
        <v/>
      </c>
      <c r="E7" s="13">
        <f>IF(OR(C7="",C7=0),"",(B7-C7)/C7)</f>
        <v/>
      </c>
    </row>
    <row r="8">
      <c r="A8" s="10" t="inlineStr">
        <is>
          <t>Quem vem à clínica</t>
        </is>
      </c>
      <c r="B8" s="11" t="n"/>
      <c r="C8" s="11" t="n"/>
      <c r="D8" s="12">
        <f>IF(AND(B8="",C8=""),"",B8-C8)</f>
        <v/>
      </c>
      <c r="E8" s="13">
        <f>IF(OR(C8="",C8=0),"",(B8-C8)/C8)</f>
        <v/>
      </c>
    </row>
    <row r="9">
      <c r="A9" s="7" t="inlineStr">
        <is>
          <t>«Quem marca» deste ano soma-se sozinho a partir da tabela da origem, em baixo.</t>
        </is>
      </c>
    </row>
    <row r="11">
      <c r="A11" s="3" t="inlineStr">
        <is>
          <t>Origem das marcações — «Como nos conheceu?»</t>
        </is>
      </c>
    </row>
    <row r="12" ht="30" customHeight="1">
      <c r="A12" s="15" t="inlineStr">
        <is>
          <t>Canal de contacto</t>
        </is>
      </c>
      <c r="B12" s="16" t="inlineStr">
        <is>
          <t>Formulário do site</t>
        </is>
      </c>
      <c r="C12" s="16" t="inlineStr">
        <is>
          <t>Email direto</t>
        </is>
      </c>
      <c r="D12" s="16" t="inlineStr">
        <is>
          <t>Google</t>
        </is>
      </c>
      <c r="E12" s="16" t="inlineStr">
        <is>
          <t>IAs (ChatGPT, Gemini…)</t>
        </is>
      </c>
      <c r="F12" s="16" t="inlineStr">
        <is>
          <t>Redes sociais</t>
        </is>
      </c>
      <c r="G12" s="16" t="inlineStr">
        <is>
          <t>Recomendação</t>
        </is>
      </c>
      <c r="H12" s="16" t="inlineStr">
        <is>
          <t>Outro</t>
        </is>
      </c>
      <c r="I12" s="9" t="inlineStr">
        <is>
          <t>Total</t>
        </is>
      </c>
      <c r="J12" s="9" t="inlineStr">
        <is>
          <t>%</t>
        </is>
      </c>
    </row>
    <row r="13">
      <c r="A13" s="10" t="inlineStr">
        <is>
          <t>Email</t>
        </is>
      </c>
      <c r="B13" s="11" t="n"/>
      <c r="C13" s="11" t="n"/>
      <c r="D13" s="11" t="n"/>
      <c r="E13" s="11" t="n"/>
      <c r="F13" s="11" t="n"/>
      <c r="G13" s="11" t="n"/>
      <c r="H13" s="11" t="n"/>
      <c r="I13" s="17">
        <f>SUM(B13:H13)</f>
        <v/>
      </c>
      <c r="J13" s="18">
        <f>IF($I$17=0,"",I13/$I$17)</f>
        <v/>
      </c>
    </row>
    <row r="14">
      <c r="A14" s="10" t="inlineStr">
        <is>
          <t>Telefone</t>
        </is>
      </c>
      <c r="B14" s="11" t="n"/>
      <c r="C14" s="11" t="n"/>
      <c r="D14" s="11" t="n"/>
      <c r="E14" s="11" t="n"/>
      <c r="F14" s="11" t="n"/>
      <c r="G14" s="11" t="n"/>
      <c r="H14" s="11" t="n"/>
      <c r="I14" s="17">
        <f>SUM(B14:H14)</f>
        <v/>
      </c>
      <c r="J14" s="18">
        <f>IF($I$17=0,"",I14/$I$17)</f>
        <v/>
      </c>
    </row>
    <row r="15">
      <c r="A15" s="10" t="inlineStr">
        <is>
          <t>WhatsApp / mensagens</t>
        </is>
      </c>
      <c r="B15" s="11" t="n"/>
      <c r="C15" s="11" t="n"/>
      <c r="D15" s="11" t="n"/>
      <c r="E15" s="11" t="n"/>
      <c r="F15" s="11" t="n"/>
      <c r="G15" s="11" t="n"/>
      <c r="H15" s="11" t="n"/>
      <c r="I15" s="17">
        <f>SUM(B15:H15)</f>
        <v/>
      </c>
      <c r="J15" s="18">
        <f>IF($I$17=0,"",I15/$I$17)</f>
        <v/>
      </c>
    </row>
    <row r="16">
      <c r="A16" s="10" t="inlineStr">
        <is>
          <t>Presencial</t>
        </is>
      </c>
      <c r="B16" s="11" t="n"/>
      <c r="C16" s="11" t="n"/>
      <c r="D16" s="11" t="n"/>
      <c r="E16" s="11" t="n"/>
      <c r="F16" s="11" t="n"/>
      <c r="G16" s="11" t="n"/>
      <c r="H16" s="11" t="n"/>
      <c r="I16" s="17">
        <f>SUM(B16:H16)</f>
        <v/>
      </c>
      <c r="J16" s="18">
        <f>IF($I$17=0,"",I16/$I$17)</f>
        <v/>
      </c>
    </row>
    <row r="17">
      <c r="A17" s="10" t="inlineStr">
        <is>
          <t>Total</t>
        </is>
      </c>
      <c r="B17" s="17">
        <f>SUM(B13:B16)</f>
        <v/>
      </c>
      <c r="C17" s="17">
        <f>SUM(C13:C16)</f>
        <v/>
      </c>
      <c r="D17" s="17">
        <f>SUM(D13:D16)</f>
        <v/>
      </c>
      <c r="E17" s="17">
        <f>SUM(E13:E16)</f>
        <v/>
      </c>
      <c r="F17" s="17">
        <f>SUM(F13:F16)</f>
        <v/>
      </c>
      <c r="G17" s="17">
        <f>SUM(G13:G16)</f>
        <v/>
      </c>
      <c r="H17" s="17">
        <f>SUM(H13:H16)</f>
        <v/>
      </c>
      <c r="I17" s="14">
        <f>SUM(I13:I16)</f>
        <v/>
      </c>
      <c r="J17" s="19" t="n"/>
    </row>
    <row r="18">
      <c r="A18" s="10" t="inlineStr">
        <is>
          <t>%</t>
        </is>
      </c>
      <c r="B18" s="18">
        <f>IF($I$17=0,"",B17/$I$17)</f>
        <v/>
      </c>
      <c r="C18" s="18">
        <f>IF($I$17=0,"",C17/$I$17)</f>
        <v/>
      </c>
      <c r="D18" s="18">
        <f>IF($I$17=0,"",D17/$I$17)</f>
        <v/>
      </c>
      <c r="E18" s="18">
        <f>IF($I$17=0,"",E17/$I$17)</f>
        <v/>
      </c>
      <c r="F18" s="18">
        <f>IF($I$17=0,"",F17/$I$17)</f>
        <v/>
      </c>
      <c r="G18" s="18">
        <f>IF($I$17=0,"",G17/$I$17)</f>
        <v/>
      </c>
      <c r="H18" s="18">
        <f>IF($I$17=0,"",H17/$I$17)</f>
        <v/>
      </c>
      <c r="I18" s="19" t="n"/>
      <c r="J18" s="19" t="n"/>
    </row>
  </sheetData>
  <pageMargins left="0.75" right="0.75" top="1" bottom="1" header="0.5" footer="0.5"/>
  <pageSetup orientation="landscape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6" t="inlineStr">
        <is>
          <t>Registo de leads — Dezembro</t>
        </is>
      </c>
    </row>
    <row r="2">
      <c r="A2" s="7" t="inlineStr">
        <is>
          <t>Células amarelas: preencher. Células verdes: calculadas sozinhas.</t>
        </is>
      </c>
    </row>
    <row r="4">
      <c r="A4" s="8" t="inlineStr">
        <is>
          <t>Funil do mês</t>
        </is>
      </c>
      <c r="B4" s="9" t="inlineStr">
        <is>
          <t>Ano atual</t>
        </is>
      </c>
      <c r="C4" s="9" t="inlineStr">
        <is>
          <t>Ano anterior</t>
        </is>
      </c>
      <c r="D4" s="9" t="inlineStr">
        <is>
          <t>Diferença</t>
        </is>
      </c>
      <c r="E4" s="9" t="inlineStr">
        <is>
          <t>Variação</t>
        </is>
      </c>
    </row>
    <row r="5">
      <c r="A5" s="10" t="inlineStr">
        <is>
          <t>Curiosos (pedem informação)</t>
        </is>
      </c>
      <c r="B5" s="11" t="n"/>
      <c r="C5" s="11" t="n"/>
      <c r="D5" s="12">
        <f>IF(AND(B5="",C5=""),"",B5-C5)</f>
        <v/>
      </c>
      <c r="E5" s="13">
        <f>IF(OR(C5="",C5=0),"",(B5-C5)/C5)</f>
        <v/>
      </c>
    </row>
    <row r="6">
      <c r="A6" s="10" t="inlineStr">
        <is>
          <t>Quem marca</t>
        </is>
      </c>
      <c r="B6" s="14">
        <f>I17</f>
        <v/>
      </c>
      <c r="C6" s="11" t="n"/>
      <c r="D6" s="12">
        <f>IF(AND(B6="",C6=""),"",B6-C6)</f>
        <v/>
      </c>
      <c r="E6" s="13">
        <f>IF(OR(C6="",C6=0),"",(B6-C6)/C6)</f>
        <v/>
      </c>
    </row>
    <row r="7">
      <c r="A7" s="10" t="inlineStr">
        <is>
          <t>Quem faz depósito / sinal</t>
        </is>
      </c>
      <c r="B7" s="11" t="n"/>
      <c r="C7" s="11" t="n"/>
      <c r="D7" s="12">
        <f>IF(AND(B7="",C7=""),"",B7-C7)</f>
        <v/>
      </c>
      <c r="E7" s="13">
        <f>IF(OR(C7="",C7=0),"",(B7-C7)/C7)</f>
        <v/>
      </c>
    </row>
    <row r="8">
      <c r="A8" s="10" t="inlineStr">
        <is>
          <t>Quem vem à clínica</t>
        </is>
      </c>
      <c r="B8" s="11" t="n"/>
      <c r="C8" s="11" t="n"/>
      <c r="D8" s="12">
        <f>IF(AND(B8="",C8=""),"",B8-C8)</f>
        <v/>
      </c>
      <c r="E8" s="13">
        <f>IF(OR(C8="",C8=0),"",(B8-C8)/C8)</f>
        <v/>
      </c>
    </row>
    <row r="9">
      <c r="A9" s="7" t="inlineStr">
        <is>
          <t>«Quem marca» deste ano soma-se sozinho a partir da tabela da origem, em baixo.</t>
        </is>
      </c>
    </row>
    <row r="11">
      <c r="A11" s="3" t="inlineStr">
        <is>
          <t>Origem das marcações — «Como nos conheceu?»</t>
        </is>
      </c>
    </row>
    <row r="12" ht="30" customHeight="1">
      <c r="A12" s="15" t="inlineStr">
        <is>
          <t>Canal de contacto</t>
        </is>
      </c>
      <c r="B12" s="16" t="inlineStr">
        <is>
          <t>Formulário do site</t>
        </is>
      </c>
      <c r="C12" s="16" t="inlineStr">
        <is>
          <t>Email direto</t>
        </is>
      </c>
      <c r="D12" s="16" t="inlineStr">
        <is>
          <t>Google</t>
        </is>
      </c>
      <c r="E12" s="16" t="inlineStr">
        <is>
          <t>IAs (ChatGPT, Gemini…)</t>
        </is>
      </c>
      <c r="F12" s="16" t="inlineStr">
        <is>
          <t>Redes sociais</t>
        </is>
      </c>
      <c r="G12" s="16" t="inlineStr">
        <is>
          <t>Recomendação</t>
        </is>
      </c>
      <c r="H12" s="16" t="inlineStr">
        <is>
          <t>Outro</t>
        </is>
      </c>
      <c r="I12" s="9" t="inlineStr">
        <is>
          <t>Total</t>
        </is>
      </c>
      <c r="J12" s="9" t="inlineStr">
        <is>
          <t>%</t>
        </is>
      </c>
    </row>
    <row r="13">
      <c r="A13" s="10" t="inlineStr">
        <is>
          <t>Email</t>
        </is>
      </c>
      <c r="B13" s="11" t="n"/>
      <c r="C13" s="11" t="n"/>
      <c r="D13" s="11" t="n"/>
      <c r="E13" s="11" t="n"/>
      <c r="F13" s="11" t="n"/>
      <c r="G13" s="11" t="n"/>
      <c r="H13" s="11" t="n"/>
      <c r="I13" s="17">
        <f>SUM(B13:H13)</f>
        <v/>
      </c>
      <c r="J13" s="18">
        <f>IF($I$17=0,"",I13/$I$17)</f>
        <v/>
      </c>
    </row>
    <row r="14">
      <c r="A14" s="10" t="inlineStr">
        <is>
          <t>Telefone</t>
        </is>
      </c>
      <c r="B14" s="11" t="n"/>
      <c r="C14" s="11" t="n"/>
      <c r="D14" s="11" t="n"/>
      <c r="E14" s="11" t="n"/>
      <c r="F14" s="11" t="n"/>
      <c r="G14" s="11" t="n"/>
      <c r="H14" s="11" t="n"/>
      <c r="I14" s="17">
        <f>SUM(B14:H14)</f>
        <v/>
      </c>
      <c r="J14" s="18">
        <f>IF($I$17=0,"",I14/$I$17)</f>
        <v/>
      </c>
    </row>
    <row r="15">
      <c r="A15" s="10" t="inlineStr">
        <is>
          <t>WhatsApp / mensagens</t>
        </is>
      </c>
      <c r="B15" s="11" t="n"/>
      <c r="C15" s="11" t="n"/>
      <c r="D15" s="11" t="n"/>
      <c r="E15" s="11" t="n"/>
      <c r="F15" s="11" t="n"/>
      <c r="G15" s="11" t="n"/>
      <c r="H15" s="11" t="n"/>
      <c r="I15" s="17">
        <f>SUM(B15:H15)</f>
        <v/>
      </c>
      <c r="J15" s="18">
        <f>IF($I$17=0,"",I15/$I$17)</f>
        <v/>
      </c>
    </row>
    <row r="16">
      <c r="A16" s="10" t="inlineStr">
        <is>
          <t>Presencial</t>
        </is>
      </c>
      <c r="B16" s="11" t="n"/>
      <c r="C16" s="11" t="n"/>
      <c r="D16" s="11" t="n"/>
      <c r="E16" s="11" t="n"/>
      <c r="F16" s="11" t="n"/>
      <c r="G16" s="11" t="n"/>
      <c r="H16" s="11" t="n"/>
      <c r="I16" s="17">
        <f>SUM(B16:H16)</f>
        <v/>
      </c>
      <c r="J16" s="18">
        <f>IF($I$17=0,"",I16/$I$17)</f>
        <v/>
      </c>
    </row>
    <row r="17">
      <c r="A17" s="10" t="inlineStr">
        <is>
          <t>Total</t>
        </is>
      </c>
      <c r="B17" s="17">
        <f>SUM(B13:B16)</f>
        <v/>
      </c>
      <c r="C17" s="17">
        <f>SUM(C13:C16)</f>
        <v/>
      </c>
      <c r="D17" s="17">
        <f>SUM(D13:D16)</f>
        <v/>
      </c>
      <c r="E17" s="17">
        <f>SUM(E13:E16)</f>
        <v/>
      </c>
      <c r="F17" s="17">
        <f>SUM(F13:F16)</f>
        <v/>
      </c>
      <c r="G17" s="17">
        <f>SUM(G13:G16)</f>
        <v/>
      </c>
      <c r="H17" s="17">
        <f>SUM(H13:H16)</f>
        <v/>
      </c>
      <c r="I17" s="14">
        <f>SUM(I13:I16)</f>
        <v/>
      </c>
      <c r="J17" s="19" t="n"/>
    </row>
    <row r="18">
      <c r="A18" s="10" t="inlineStr">
        <is>
          <t>%</t>
        </is>
      </c>
      <c r="B18" s="18">
        <f>IF($I$17=0,"",B17/$I$17)</f>
        <v/>
      </c>
      <c r="C18" s="18">
        <f>IF($I$17=0,"",C17/$I$17)</f>
        <v/>
      </c>
      <c r="D18" s="18">
        <f>IF($I$17=0,"",D17/$I$17)</f>
        <v/>
      </c>
      <c r="E18" s="18">
        <f>IF($I$17=0,"",E17/$I$17)</f>
        <v/>
      </c>
      <c r="F18" s="18">
        <f>IF($I$17=0,"",F17/$I$17)</f>
        <v/>
      </c>
      <c r="G18" s="18">
        <f>IF($I$17=0,"",G17/$I$17)</f>
        <v/>
      </c>
      <c r="H18" s="18">
        <f>IF($I$17=0,"",H17/$I$17)</f>
        <v/>
      </c>
      <c r="I18" s="19" t="n"/>
      <c r="J18" s="19" t="n"/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2026-10-29T13:15:57Z</dcterms:created>
  <dcterms:modified xmlns:dcterms="http://purl.org/dc/terms/" xmlns:xsi="http://www.w3.org/2001/XMLSchema-instance" xsi:type="dcterms:W3CDTF">2026-10-29T13:15:57Z</dcterms:modified>
</cp:coreProperties>
</file>